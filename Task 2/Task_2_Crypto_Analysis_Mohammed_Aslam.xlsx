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tcoin" sheetId="1" r:id="rId5"/>
    <sheet state="visible" name="Ethereum" sheetId="2" r:id="rId6"/>
    <sheet state="visible" name="Solana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<sst xmlns="http://schemas.openxmlformats.org/spreadsheetml/2006/main" count="9" uniqueCount="9">
  <si>
    <t>Asset</t>
  </si>
  <si>
    <t>Starting Price (INR)</t>
  </si>
  <si>
    <t>Ending Price (INR)</t>
  </si>
  <si>
    <t>1-Year Return (%)</t>
  </si>
  <si>
    <t>52-Week High (INR)</t>
  </si>
  <si>
    <t>52-Week Low (INR)</t>
  </si>
  <si>
    <t>Bitcoin</t>
  </si>
  <si>
    <t>Ethereum</t>
  </si>
  <si>
    <t>Solana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</si>
</sst>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[$₹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0" xfId="0" applyAlignment="1" applyFont="1" applyNumberForma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5" xfId="0" applyFont="1" applyNumberForma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1-Year Crypto Performance Comparison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Summary!$A$1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Summary!$A$2:$A$4</c:f>
              <c:numCache/>
            </c:numRef>
          </c:val>
        </c:ser>
        <c:ser>
          <c:idx val="1"/>
          <c:order val="1"/>
          <c:tx>
            <c:strRef>
              <c:f>Summary!$D$1</c:f>
            </c:strRef>
          </c:tx>
          <c:val>
            <c:numRef>
              <c:f>Summary!$D$2:$D$4</c:f>
              <c:numCache/>
            </c:numRef>
          </c:val>
        </c:ser>
        <c:axId val="562519865"/>
        <c:axId val="671654216"/>
      </c:barChart>
      <c:catAx>
        <c:axId val="5625198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654216"/>
      </c:catAx>
      <c:valAx>
        <c:axId val="671654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5198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5762625" cy="3171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tr">
        <f>IFERROR(__xludf.DUMMYFUNCTION("GOOGLEFINANCE(""CURRENCY:BTCINR"", ""price"", DATE(2025,7,28), DATE(2026,7,28), ""DAILY"")"),"Date")</f>
        <v>Date</v>
      </c>
      <c r="B1" s="1" t="str">
        <f>IFERROR(__xludf.DUMMYFUNCTION("""COMPUTED_VALUE"""),"Close")</f>
        <v>Close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f>IFERROR(__xludf.DUMMYFUNCTION("""COMPUTED_VALUE"""),45866.99861111111)</f>
        <v>45866.99861</v>
      </c>
      <c r="B2" s="3">
        <f>IFERROR(__xludf.DUMMYFUNCTION("""COMPUTED_VALUE"""),1.03511532E7)</f>
        <v>10351153.2</v>
      </c>
    </row>
    <row r="3">
      <c r="A3" s="2">
        <f>IFERROR(__xludf.DUMMYFUNCTION("""COMPUTED_VALUE"""),45867.99861111111)</f>
        <v>45867.99861</v>
      </c>
      <c r="B3" s="3">
        <f>IFERROR(__xludf.DUMMYFUNCTION("""COMPUTED_VALUE"""),1.033937314E7)</f>
        <v>10339373.14</v>
      </c>
    </row>
    <row r="4">
      <c r="A4" s="2">
        <f>IFERROR(__xludf.DUMMYFUNCTION("""COMPUTED_VALUE"""),45868.99861111111)</f>
        <v>45868.99861</v>
      </c>
      <c r="B4" s="3">
        <f>IFERROR(__xludf.DUMMYFUNCTION("""COMPUTED_VALUE"""),1.036577811E7)</f>
        <v>10365778.11</v>
      </c>
    </row>
    <row r="5">
      <c r="A5" s="2">
        <f>IFERROR(__xludf.DUMMYFUNCTION("""COMPUTED_VALUE"""),45869.99861111111)</f>
        <v>45869.99861</v>
      </c>
      <c r="B5" s="3">
        <f>IFERROR(__xludf.DUMMYFUNCTION("""COMPUTED_VALUE"""),1.036350438E7)</f>
        <v>10363504.38</v>
      </c>
    </row>
    <row r="6">
      <c r="A6" s="2">
        <f>IFERROR(__xludf.DUMMYFUNCTION("""COMPUTED_VALUE"""),45870.99861111111)</f>
        <v>45870.99861</v>
      </c>
      <c r="B6" s="3">
        <f>IFERROR(__xludf.DUMMYFUNCTION("""COMPUTED_VALUE"""),1.007678955E7)</f>
        <v>10076789.55</v>
      </c>
    </row>
    <row r="7">
      <c r="A7" s="2">
        <f>IFERROR(__xludf.DUMMYFUNCTION("""COMPUTED_VALUE"""),45871.99861111111)</f>
        <v>45871.99861</v>
      </c>
      <c r="B7" s="3">
        <f>IFERROR(__xludf.DUMMYFUNCTION("""COMPUTED_VALUE"""),9926081.473)</f>
        <v>9926081.473</v>
      </c>
    </row>
    <row r="8">
      <c r="A8" s="2">
        <f>IFERROR(__xludf.DUMMYFUNCTION("""COMPUTED_VALUE"""),45872.99861111111)</f>
        <v>45872.99861</v>
      </c>
      <c r="B8" s="3">
        <f>IFERROR(__xludf.DUMMYFUNCTION("""COMPUTED_VALUE"""),9922460.316)</f>
        <v>9922460.316</v>
      </c>
    </row>
    <row r="9">
      <c r="A9" s="2">
        <f>IFERROR(__xludf.DUMMYFUNCTION("""COMPUTED_VALUE"""),45873.99861111111)</f>
        <v>45873.99861</v>
      </c>
      <c r="B9" s="3">
        <f>IFERROR(__xludf.DUMMYFUNCTION("""COMPUTED_VALUE"""),1.008101872E7)</f>
        <v>10081018.72</v>
      </c>
    </row>
    <row r="10">
      <c r="A10" s="2">
        <f>IFERROR(__xludf.DUMMYFUNCTION("""COMPUTED_VALUE"""),45874.99861111111)</f>
        <v>45874.99861</v>
      </c>
      <c r="B10" s="3">
        <f>IFERROR(__xludf.DUMMYFUNCTION("""COMPUTED_VALUE"""),1.003097858E7)</f>
        <v>10030978.58</v>
      </c>
    </row>
    <row r="11">
      <c r="A11" s="2">
        <f>IFERROR(__xludf.DUMMYFUNCTION("""COMPUTED_VALUE"""),45875.99861111111)</f>
        <v>45875.99861</v>
      </c>
      <c r="B11" s="3">
        <f>IFERROR(__xludf.DUMMYFUNCTION("""COMPUTED_VALUE"""),9967617.161)</f>
        <v>9967617.161</v>
      </c>
    </row>
    <row r="12">
      <c r="A12" s="2">
        <f>IFERROR(__xludf.DUMMYFUNCTION("""COMPUTED_VALUE"""),45876.99861111111)</f>
        <v>45876.99861</v>
      </c>
      <c r="B12" s="3">
        <f>IFERROR(__xludf.DUMMYFUNCTION("""COMPUTED_VALUE"""),1.000980738E7)</f>
        <v>10009807.38</v>
      </c>
    </row>
    <row r="13">
      <c r="A13" s="2">
        <f>IFERROR(__xludf.DUMMYFUNCTION("""COMPUTED_VALUE"""),45877.99861111111)</f>
        <v>45877.99861</v>
      </c>
      <c r="B13" s="3">
        <f>IFERROR(__xludf.DUMMYFUNCTION("""COMPUTED_VALUE"""),1.023829145E7)</f>
        <v>10238291.45</v>
      </c>
    </row>
    <row r="14">
      <c r="A14" s="2">
        <f>IFERROR(__xludf.DUMMYFUNCTION("""COMPUTED_VALUE"""),45878.99861111111)</f>
        <v>45878.99861</v>
      </c>
      <c r="B14" s="3">
        <f>IFERROR(__xludf.DUMMYFUNCTION("""COMPUTED_VALUE"""),1.020261253E7)</f>
        <v>10202612.53</v>
      </c>
    </row>
    <row r="15">
      <c r="A15" s="2">
        <f>IFERROR(__xludf.DUMMYFUNCTION("""COMPUTED_VALUE"""),45879.99861111111)</f>
        <v>45879.99861</v>
      </c>
      <c r="B15" s="3">
        <f>IFERROR(__xludf.DUMMYFUNCTION("""COMPUTED_VALUE"""),1.034390793E7)</f>
        <v>10343907.93</v>
      </c>
    </row>
    <row r="16">
      <c r="A16" s="2">
        <f>IFERROR(__xludf.DUMMYFUNCTION("""COMPUTED_VALUE"""),45880.99861111111)</f>
        <v>45880.99861</v>
      </c>
      <c r="B16" s="3">
        <f>IFERROR(__xludf.DUMMYFUNCTION("""COMPUTED_VALUE"""),1.066534196E7)</f>
        <v>10665341.96</v>
      </c>
    </row>
    <row r="17">
      <c r="A17" s="2">
        <f>IFERROR(__xludf.DUMMYFUNCTION("""COMPUTED_VALUE"""),45881.99861111111)</f>
        <v>45881.99861</v>
      </c>
      <c r="B17" s="3">
        <f>IFERROR(__xludf.DUMMYFUNCTION("""COMPUTED_VALUE"""),1.041064946E7)</f>
        <v>10410649.46</v>
      </c>
    </row>
    <row r="18">
      <c r="A18" s="2">
        <f>IFERROR(__xludf.DUMMYFUNCTION("""COMPUTED_VALUE"""),45882.99861111111)</f>
        <v>45882.99861</v>
      </c>
      <c r="B18" s="3">
        <f>IFERROR(__xludf.DUMMYFUNCTION("""COMPUTED_VALUE"""),1.044524662E7)</f>
        <v>10445246.62</v>
      </c>
    </row>
    <row r="19">
      <c r="A19" s="2">
        <f>IFERROR(__xludf.DUMMYFUNCTION("""COMPUTED_VALUE"""),45883.99861111111)</f>
        <v>45883.99861</v>
      </c>
      <c r="B19" s="3">
        <f>IFERROR(__xludf.DUMMYFUNCTION("""COMPUTED_VALUE"""),1.081520507E7)</f>
        <v>10815205.07</v>
      </c>
    </row>
    <row r="20">
      <c r="A20" s="2">
        <f>IFERROR(__xludf.DUMMYFUNCTION("""COMPUTED_VALUE"""),45884.99861111111)</f>
        <v>45884.99861</v>
      </c>
      <c r="B20" s="3">
        <f>IFERROR(__xludf.DUMMYFUNCTION("""COMPUTED_VALUE"""),1.042063816E7)</f>
        <v>10420638.16</v>
      </c>
    </row>
    <row r="21">
      <c r="A21" s="2">
        <f>IFERROR(__xludf.DUMMYFUNCTION("""COMPUTED_VALUE"""),45885.99861111111)</f>
        <v>45885.99861</v>
      </c>
      <c r="B21" s="3">
        <f>IFERROR(__xludf.DUMMYFUNCTION("""COMPUTED_VALUE"""),1.0287705E7)</f>
        <v>10287705</v>
      </c>
    </row>
    <row r="22">
      <c r="A22" s="2">
        <f>IFERROR(__xludf.DUMMYFUNCTION("""COMPUTED_VALUE"""),45886.99861111111)</f>
        <v>45886.99861</v>
      </c>
      <c r="B22" s="3">
        <f>IFERROR(__xludf.DUMMYFUNCTION("""COMPUTED_VALUE"""),1.030838649E7)</f>
        <v>10308386.49</v>
      </c>
    </row>
    <row r="23">
      <c r="A23" s="2">
        <f>IFERROR(__xludf.DUMMYFUNCTION("""COMPUTED_VALUE"""),45887.99861111111)</f>
        <v>45887.99861</v>
      </c>
      <c r="B23" s="3">
        <f>IFERROR(__xludf.DUMMYFUNCTION("""COMPUTED_VALUE"""),1.007526872E7)</f>
        <v>10075268.72</v>
      </c>
    </row>
    <row r="24">
      <c r="A24" s="2">
        <f>IFERROR(__xludf.DUMMYFUNCTION("""COMPUTED_VALUE"""),45888.99861111111)</f>
        <v>45888.99861</v>
      </c>
      <c r="B24" s="3">
        <f>IFERROR(__xludf.DUMMYFUNCTION("""COMPUTED_VALUE"""),1.000809675E7)</f>
        <v>10008096.75</v>
      </c>
    </row>
    <row r="25">
      <c r="A25" s="2">
        <f>IFERROR(__xludf.DUMMYFUNCTION("""COMPUTED_VALUE"""),45889.99861111111)</f>
        <v>45889.99861</v>
      </c>
      <c r="B25" s="3">
        <f>IFERROR(__xludf.DUMMYFUNCTION("""COMPUTED_VALUE"""),9882630.868)</f>
        <v>9882630.868</v>
      </c>
    </row>
    <row r="26">
      <c r="A26" s="2">
        <f>IFERROR(__xludf.DUMMYFUNCTION("""COMPUTED_VALUE"""),45890.99861111111)</f>
        <v>45890.99861</v>
      </c>
      <c r="B26" s="3">
        <f>IFERROR(__xludf.DUMMYFUNCTION("""COMPUTED_VALUE"""),9951840.42)</f>
        <v>9951840.42</v>
      </c>
    </row>
    <row r="27">
      <c r="A27" s="2">
        <f>IFERROR(__xludf.DUMMYFUNCTION("""COMPUTED_VALUE"""),45891.99861111111)</f>
        <v>45891.99861</v>
      </c>
      <c r="B27" s="3">
        <f>IFERROR(__xludf.DUMMYFUNCTION("""COMPUTED_VALUE"""),9863609.112)</f>
        <v>9863609.112</v>
      </c>
    </row>
    <row r="28">
      <c r="A28" s="2">
        <f>IFERROR(__xludf.DUMMYFUNCTION("""COMPUTED_VALUE"""),45892.99861111111)</f>
        <v>45892.99861</v>
      </c>
      <c r="B28" s="3">
        <f>IFERROR(__xludf.DUMMYFUNCTION("""COMPUTED_VALUE"""),1.008385537E7)</f>
        <v>10083855.37</v>
      </c>
    </row>
    <row r="29">
      <c r="A29" s="2">
        <f>IFERROR(__xludf.DUMMYFUNCTION("""COMPUTED_VALUE"""),45893.99861111111)</f>
        <v>45893.99861</v>
      </c>
      <c r="B29" s="3">
        <f>IFERROR(__xludf.DUMMYFUNCTION("""COMPUTED_VALUE"""),1.003601875E7)</f>
        <v>10036018.75</v>
      </c>
    </row>
    <row r="30">
      <c r="A30" s="2">
        <f>IFERROR(__xludf.DUMMYFUNCTION("""COMPUTED_VALUE"""),45894.99861111111)</f>
        <v>45894.99861</v>
      </c>
      <c r="B30" s="3">
        <f>IFERROR(__xludf.DUMMYFUNCTION("""COMPUTED_VALUE"""),9903635.339)</f>
        <v>9903635.339</v>
      </c>
    </row>
    <row r="31">
      <c r="A31" s="2">
        <f>IFERROR(__xludf.DUMMYFUNCTION("""COMPUTED_VALUE"""),45895.99861111111)</f>
        <v>45895.99861</v>
      </c>
      <c r="B31" s="3">
        <f>IFERROR(__xludf.DUMMYFUNCTION("""COMPUTED_VALUE"""),9629375.546)</f>
        <v>9629375.546</v>
      </c>
    </row>
    <row r="32">
      <c r="A32" s="2">
        <f>IFERROR(__xludf.DUMMYFUNCTION("""COMPUTED_VALUE"""),45896.99861111111)</f>
        <v>45896.99861</v>
      </c>
      <c r="B32" s="3">
        <f>IFERROR(__xludf.DUMMYFUNCTION("""COMPUTED_VALUE"""),9772104.979)</f>
        <v>9772104.979</v>
      </c>
    </row>
    <row r="33">
      <c r="A33" s="2">
        <f>IFERROR(__xludf.DUMMYFUNCTION("""COMPUTED_VALUE"""),45897.99861111111)</f>
        <v>45897.99861</v>
      </c>
      <c r="B33" s="3">
        <f>IFERROR(__xludf.DUMMYFUNCTION("""COMPUTED_VALUE"""),9813073.334)</f>
        <v>9813073.334</v>
      </c>
    </row>
    <row r="34">
      <c r="A34" s="2">
        <f>IFERROR(__xludf.DUMMYFUNCTION("""COMPUTED_VALUE"""),45898.99861111111)</f>
        <v>45898.99861</v>
      </c>
      <c r="B34" s="3">
        <f>IFERROR(__xludf.DUMMYFUNCTION("""COMPUTED_VALUE"""),9854403.86)</f>
        <v>9854403.86</v>
      </c>
    </row>
    <row r="35">
      <c r="A35" s="2">
        <f>IFERROR(__xludf.DUMMYFUNCTION("""COMPUTED_VALUE"""),45899.99861111111)</f>
        <v>45899.99861</v>
      </c>
      <c r="B35" s="3">
        <f>IFERROR(__xludf.DUMMYFUNCTION("""COMPUTED_VALUE"""),9562099.084)</f>
        <v>9562099.084</v>
      </c>
    </row>
    <row r="36">
      <c r="A36" s="2">
        <f>IFERROR(__xludf.DUMMYFUNCTION("""COMPUTED_VALUE"""),45900.99861111111)</f>
        <v>45900.99861</v>
      </c>
      <c r="B36" s="3">
        <f>IFERROR(__xludf.DUMMYFUNCTION("""COMPUTED_VALUE"""),9633183.353)</f>
        <v>9633183.353</v>
      </c>
    </row>
    <row r="37">
      <c r="A37" s="2">
        <f>IFERROR(__xludf.DUMMYFUNCTION("""COMPUTED_VALUE"""),45901.99861111111)</f>
        <v>45901.99861</v>
      </c>
      <c r="B37" s="3">
        <f>IFERROR(__xludf.DUMMYFUNCTION("""COMPUTED_VALUE"""),9477249.172)</f>
        <v>9477249.172</v>
      </c>
    </row>
    <row r="38">
      <c r="A38" s="2">
        <f>IFERROR(__xludf.DUMMYFUNCTION("""COMPUTED_VALUE"""),45902.99861111111)</f>
        <v>45902.99861</v>
      </c>
      <c r="B38" s="3">
        <f>IFERROR(__xludf.DUMMYFUNCTION("""COMPUTED_VALUE"""),9712803.562)</f>
        <v>9712803.562</v>
      </c>
    </row>
    <row r="39">
      <c r="A39" s="2">
        <f>IFERROR(__xludf.DUMMYFUNCTION("""COMPUTED_VALUE"""),45903.99861111111)</f>
        <v>45903.99861</v>
      </c>
      <c r="B39" s="3">
        <f>IFERROR(__xludf.DUMMYFUNCTION("""COMPUTED_VALUE"""),9784258.559)</f>
        <v>9784258.559</v>
      </c>
    </row>
    <row r="40">
      <c r="A40" s="2">
        <f>IFERROR(__xludf.DUMMYFUNCTION("""COMPUTED_VALUE"""),45904.99861111111)</f>
        <v>45904.99861</v>
      </c>
      <c r="B40" s="3">
        <f>IFERROR(__xludf.DUMMYFUNCTION("""COMPUTED_VALUE"""),9806671.25)</f>
        <v>9806671.25</v>
      </c>
    </row>
    <row r="41">
      <c r="A41" s="2">
        <f>IFERROR(__xludf.DUMMYFUNCTION("""COMPUTED_VALUE"""),45905.99861111111)</f>
        <v>45905.99861</v>
      </c>
      <c r="B41" s="3">
        <f>IFERROR(__xludf.DUMMYFUNCTION("""COMPUTED_VALUE"""),9814980.91)</f>
        <v>9814980.91</v>
      </c>
    </row>
    <row r="42">
      <c r="A42" s="2">
        <f>IFERROR(__xludf.DUMMYFUNCTION("""COMPUTED_VALUE"""),45906.99861111111)</f>
        <v>45906.99861</v>
      </c>
      <c r="B42" s="3">
        <f>IFERROR(__xludf.DUMMYFUNCTION("""COMPUTED_VALUE"""),9796320.083)</f>
        <v>9796320.083</v>
      </c>
    </row>
    <row r="43">
      <c r="A43" s="2">
        <f>IFERROR(__xludf.DUMMYFUNCTION("""COMPUTED_VALUE"""),45907.99861111111)</f>
        <v>45907.99861</v>
      </c>
      <c r="B43" s="3">
        <f>IFERROR(__xludf.DUMMYFUNCTION("""COMPUTED_VALUE"""),9760415.59)</f>
        <v>9760415.59</v>
      </c>
    </row>
    <row r="44">
      <c r="A44" s="2">
        <f>IFERROR(__xludf.DUMMYFUNCTION("""COMPUTED_VALUE"""),45908.99861111111)</f>
        <v>45908.99861</v>
      </c>
      <c r="B44" s="3">
        <f>IFERROR(__xludf.DUMMYFUNCTION("""COMPUTED_VALUE"""),9773190.669)</f>
        <v>9773190.669</v>
      </c>
    </row>
    <row r="45">
      <c r="A45" s="2">
        <f>IFERROR(__xludf.DUMMYFUNCTION("""COMPUTED_VALUE"""),45909.99861111111)</f>
        <v>45909.99861</v>
      </c>
      <c r="B45" s="3">
        <f>IFERROR(__xludf.DUMMYFUNCTION("""COMPUTED_VALUE"""),9855589.683)</f>
        <v>9855589.683</v>
      </c>
    </row>
    <row r="46">
      <c r="A46" s="2">
        <f>IFERROR(__xludf.DUMMYFUNCTION("""COMPUTED_VALUE"""),45910.99861111111)</f>
        <v>45910.99861</v>
      </c>
      <c r="B46" s="3">
        <f>IFERROR(__xludf.DUMMYFUNCTION("""COMPUTED_VALUE"""),9818376.756)</f>
        <v>9818376.756</v>
      </c>
    </row>
    <row r="47">
      <c r="A47" s="2">
        <f>IFERROR(__xludf.DUMMYFUNCTION("""COMPUTED_VALUE"""),45911.99861111111)</f>
        <v>45911.99861</v>
      </c>
      <c r="B47" s="3">
        <f>IFERROR(__xludf.DUMMYFUNCTION("""COMPUTED_VALUE"""),1.009867846E7)</f>
        <v>10098678.46</v>
      </c>
    </row>
    <row r="48">
      <c r="A48" s="2">
        <f>IFERROR(__xludf.DUMMYFUNCTION("""COMPUTED_VALUE"""),45912.99861111111)</f>
        <v>45912.99861</v>
      </c>
      <c r="B48" s="3">
        <f>IFERROR(__xludf.DUMMYFUNCTION("""COMPUTED_VALUE"""),1.017567067E7)</f>
        <v>10175670.67</v>
      </c>
    </row>
    <row r="49">
      <c r="A49" s="2">
        <f>IFERROR(__xludf.DUMMYFUNCTION("""COMPUTED_VALUE"""),45913.99861111111)</f>
        <v>45913.99861</v>
      </c>
      <c r="B49" s="3">
        <f>IFERROR(__xludf.DUMMYFUNCTION("""COMPUTED_VALUE"""),1.02363453E7)</f>
        <v>10236345.3</v>
      </c>
    </row>
    <row r="50">
      <c r="A50" s="2">
        <f>IFERROR(__xludf.DUMMYFUNCTION("""COMPUTED_VALUE"""),45914.99861111111)</f>
        <v>45914.99861</v>
      </c>
      <c r="B50" s="3">
        <f>IFERROR(__xludf.DUMMYFUNCTION("""COMPUTED_VALUE"""),1.021526377E7)</f>
        <v>10215263.77</v>
      </c>
    </row>
    <row r="51">
      <c r="A51" s="2">
        <f>IFERROR(__xludf.DUMMYFUNCTION("""COMPUTED_VALUE"""),45915.99861111111)</f>
        <v>45915.99861</v>
      </c>
      <c r="B51" s="3">
        <f>IFERROR(__xludf.DUMMYFUNCTION("""COMPUTED_VALUE"""),1.018156006E7)</f>
        <v>10181560.06</v>
      </c>
    </row>
    <row r="52">
      <c r="A52" s="2">
        <f>IFERROR(__xludf.DUMMYFUNCTION("""COMPUTED_VALUE"""),45916.99861111111)</f>
        <v>45916.99861</v>
      </c>
      <c r="B52" s="3">
        <f>IFERROR(__xludf.DUMMYFUNCTION("""COMPUTED_VALUE"""),1.014042395E7)</f>
        <v>10140423.95</v>
      </c>
    </row>
    <row r="53">
      <c r="A53" s="2">
        <f>IFERROR(__xludf.DUMMYFUNCTION("""COMPUTED_VALUE"""),45917.99861111111)</f>
        <v>45917.99861</v>
      </c>
      <c r="B53" s="3">
        <f>IFERROR(__xludf.DUMMYFUNCTION("""COMPUTED_VALUE"""),1.023935482E7)</f>
        <v>10239354.82</v>
      </c>
    </row>
    <row r="54">
      <c r="A54" s="2">
        <f>IFERROR(__xludf.DUMMYFUNCTION("""COMPUTED_VALUE"""),45918.99861111111)</f>
        <v>45918.99861</v>
      </c>
      <c r="B54" s="3">
        <f>IFERROR(__xludf.DUMMYFUNCTION("""COMPUTED_VALUE"""),1.037809748E7)</f>
        <v>10378097.48</v>
      </c>
    </row>
    <row r="55">
      <c r="A55" s="2">
        <f>IFERROR(__xludf.DUMMYFUNCTION("""COMPUTED_VALUE"""),45919.99861111111)</f>
        <v>45919.99861</v>
      </c>
      <c r="B55" s="3">
        <f>IFERROR(__xludf.DUMMYFUNCTION("""COMPUTED_VALUE"""),1.030806162E7)</f>
        <v>10308061.62</v>
      </c>
    </row>
    <row r="56">
      <c r="A56" s="2">
        <f>IFERROR(__xludf.DUMMYFUNCTION("""COMPUTED_VALUE"""),45920.99861111111)</f>
        <v>45920.99861</v>
      </c>
      <c r="B56" s="3">
        <f>IFERROR(__xludf.DUMMYFUNCTION("""COMPUTED_VALUE"""),1.017857354E7)</f>
        <v>10178573.54</v>
      </c>
    </row>
    <row r="57">
      <c r="A57" s="2">
        <f>IFERROR(__xludf.DUMMYFUNCTION("""COMPUTED_VALUE"""),45921.99861111111)</f>
        <v>45921.99861</v>
      </c>
      <c r="B57" s="3">
        <f>IFERROR(__xludf.DUMMYFUNCTION("""COMPUTED_VALUE"""),1.019361484E7)</f>
        <v>10193614.84</v>
      </c>
    </row>
    <row r="58">
      <c r="A58" s="2">
        <f>IFERROR(__xludf.DUMMYFUNCTION("""COMPUTED_VALUE"""),45922.99861111111)</f>
        <v>45922.99861</v>
      </c>
      <c r="B58" s="3">
        <f>IFERROR(__xludf.DUMMYFUNCTION("""COMPUTED_VALUE"""),1.01275345E7)</f>
        <v>10127534.5</v>
      </c>
    </row>
    <row r="59">
      <c r="A59" s="2">
        <f>IFERROR(__xludf.DUMMYFUNCTION("""COMPUTED_VALUE"""),45923.99861111111)</f>
        <v>45923.99861</v>
      </c>
      <c r="B59" s="3">
        <f>IFERROR(__xludf.DUMMYFUNCTION("""COMPUTED_VALUE"""),9980926.861)</f>
        <v>9980926.861</v>
      </c>
    </row>
    <row r="60">
      <c r="A60" s="2">
        <f>IFERROR(__xludf.DUMMYFUNCTION("""COMPUTED_VALUE"""),45924.99861111111)</f>
        <v>45924.99861</v>
      </c>
      <c r="B60" s="3">
        <f>IFERROR(__xludf.DUMMYFUNCTION("""COMPUTED_VALUE"""),9924737.251)</f>
        <v>9924737.251</v>
      </c>
    </row>
    <row r="61">
      <c r="A61" s="2">
        <f>IFERROR(__xludf.DUMMYFUNCTION("""COMPUTED_VALUE"""),45925.99861111111)</f>
        <v>45925.99861</v>
      </c>
      <c r="B61" s="3">
        <f>IFERROR(__xludf.DUMMYFUNCTION("""COMPUTED_VALUE"""),9996339.312)</f>
        <v>9996339.312</v>
      </c>
    </row>
    <row r="62">
      <c r="A62" s="2">
        <f>IFERROR(__xludf.DUMMYFUNCTION("""COMPUTED_VALUE"""),45926.99861111111)</f>
        <v>45926.99861</v>
      </c>
      <c r="B62" s="3">
        <f>IFERROR(__xludf.DUMMYFUNCTION("""COMPUTED_VALUE"""),9723195.152)</f>
        <v>9723195.152</v>
      </c>
    </row>
    <row r="63">
      <c r="A63" s="2">
        <f>IFERROR(__xludf.DUMMYFUNCTION("""COMPUTED_VALUE"""),45927.99861111111)</f>
        <v>45927.99861</v>
      </c>
      <c r="B63" s="3">
        <f>IFERROR(__xludf.DUMMYFUNCTION("""COMPUTED_VALUE"""),9722659.877)</f>
        <v>9722659.877</v>
      </c>
    </row>
    <row r="64">
      <c r="A64" s="2">
        <f>IFERROR(__xludf.DUMMYFUNCTION("""COMPUTED_VALUE"""),45928.99861111111)</f>
        <v>45928.99861</v>
      </c>
      <c r="B64" s="3">
        <f>IFERROR(__xludf.DUMMYFUNCTION("""COMPUTED_VALUE"""),9717904.29)</f>
        <v>9717904.29</v>
      </c>
    </row>
    <row r="65">
      <c r="A65" s="2">
        <f>IFERROR(__xludf.DUMMYFUNCTION("""COMPUTED_VALUE"""),45929.99861111111)</f>
        <v>45929.99861</v>
      </c>
      <c r="B65" s="3">
        <f>IFERROR(__xludf.DUMMYFUNCTION("""COMPUTED_VALUE"""),9926814.149)</f>
        <v>9926814.149</v>
      </c>
    </row>
    <row r="66">
      <c r="A66" s="2">
        <f>IFERROR(__xludf.DUMMYFUNCTION("""COMPUTED_VALUE"""),45930.99861111111)</f>
        <v>45930.99861</v>
      </c>
      <c r="B66" s="3">
        <f>IFERROR(__xludf.DUMMYFUNCTION("""COMPUTED_VALUE"""),1.01663167E7)</f>
        <v>10166316.7</v>
      </c>
    </row>
    <row r="67">
      <c r="A67" s="2">
        <f>IFERROR(__xludf.DUMMYFUNCTION("""COMPUTED_VALUE"""),45931.99861111111)</f>
        <v>45931.99861</v>
      </c>
      <c r="B67" s="3">
        <f>IFERROR(__xludf.DUMMYFUNCTION("""COMPUTED_VALUE"""),1.012703989E7)</f>
        <v>10127039.89</v>
      </c>
    </row>
    <row r="68">
      <c r="A68" s="2">
        <f>IFERROR(__xludf.DUMMYFUNCTION("""COMPUTED_VALUE"""),45932.99861111111)</f>
        <v>45932.99861</v>
      </c>
      <c r="B68" s="3">
        <f>IFERROR(__xludf.DUMMYFUNCTION("""COMPUTED_VALUE"""),1.053875316E7)</f>
        <v>10538753.16</v>
      </c>
    </row>
    <row r="69">
      <c r="A69" s="2">
        <f>IFERROR(__xludf.DUMMYFUNCTION("""COMPUTED_VALUE"""),45933.99861111111)</f>
        <v>45933.99861</v>
      </c>
      <c r="B69" s="3">
        <f>IFERROR(__xludf.DUMMYFUNCTION("""COMPUTED_VALUE"""),1.06731998E7)</f>
        <v>10673199.8</v>
      </c>
    </row>
    <row r="70">
      <c r="A70" s="2">
        <f>IFERROR(__xludf.DUMMYFUNCTION("""COMPUTED_VALUE"""),45934.99861111111)</f>
        <v>45934.99861</v>
      </c>
      <c r="B70" s="3">
        <f>IFERROR(__xludf.DUMMYFUNCTION("""COMPUTED_VALUE"""),1.084795626E7)</f>
        <v>10847956.26</v>
      </c>
    </row>
    <row r="71">
      <c r="A71" s="2">
        <f>IFERROR(__xludf.DUMMYFUNCTION("""COMPUTED_VALUE"""),45935.99861111111)</f>
        <v>45935.99861</v>
      </c>
      <c r="B71" s="3">
        <f>IFERROR(__xludf.DUMMYFUNCTION("""COMPUTED_VALUE"""),1.09803386E7)</f>
        <v>10980338.6</v>
      </c>
    </row>
    <row r="72">
      <c r="A72" s="2">
        <f>IFERROR(__xludf.DUMMYFUNCTION("""COMPUTED_VALUE"""),45936.99861111111)</f>
        <v>45936.99861</v>
      </c>
      <c r="B72" s="3">
        <f>IFERROR(__xludf.DUMMYFUNCTION("""COMPUTED_VALUE"""),1.098873815E7)</f>
        <v>10988738.15</v>
      </c>
    </row>
    <row r="73">
      <c r="A73" s="2">
        <f>IFERROR(__xludf.DUMMYFUNCTION("""COMPUTED_VALUE"""),45937.99861111111)</f>
        <v>45937.99861</v>
      </c>
      <c r="B73" s="3">
        <f>IFERROR(__xludf.DUMMYFUNCTION("""COMPUTED_VALUE"""),1.103164585E7)</f>
        <v>11031645.85</v>
      </c>
    </row>
    <row r="74">
      <c r="A74" s="2">
        <f>IFERROR(__xludf.DUMMYFUNCTION("""COMPUTED_VALUE"""),45938.99861111111)</f>
        <v>45938.99861</v>
      </c>
      <c r="B74" s="3">
        <f>IFERROR(__xludf.DUMMYFUNCTION("""COMPUTED_VALUE"""),1.077971824E7)</f>
        <v>10779718.24</v>
      </c>
    </row>
    <row r="75">
      <c r="A75" s="2">
        <f>IFERROR(__xludf.DUMMYFUNCTION("""COMPUTED_VALUE"""),45939.99861111111)</f>
        <v>45939.99861</v>
      </c>
      <c r="B75" s="3">
        <f>IFERROR(__xludf.DUMMYFUNCTION("""COMPUTED_VALUE"""),1.084687517E7)</f>
        <v>10846875.17</v>
      </c>
    </row>
    <row r="76">
      <c r="A76" s="2">
        <f>IFERROR(__xludf.DUMMYFUNCTION("""COMPUTED_VALUE"""),45940.99861111111)</f>
        <v>45940.99861</v>
      </c>
      <c r="B76" s="3">
        <f>IFERROR(__xludf.DUMMYFUNCTION("""COMPUTED_VALUE"""),1.075232534E7)</f>
        <v>10752325.34</v>
      </c>
    </row>
    <row r="77">
      <c r="A77" s="2">
        <f>IFERROR(__xludf.DUMMYFUNCTION("""COMPUTED_VALUE"""),45941.99861111111)</f>
        <v>45941.99861</v>
      </c>
      <c r="B77" s="3">
        <f>IFERROR(__xludf.DUMMYFUNCTION("""COMPUTED_VALUE"""),9991051.303)</f>
        <v>9991051.303</v>
      </c>
    </row>
    <row r="78">
      <c r="A78" s="2">
        <f>IFERROR(__xludf.DUMMYFUNCTION("""COMPUTED_VALUE"""),45942.99861111111)</f>
        <v>45942.99861</v>
      </c>
      <c r="B78" s="3">
        <f>IFERROR(__xludf.DUMMYFUNCTION("""COMPUTED_VALUE"""),9855566.213)</f>
        <v>9855566.213</v>
      </c>
    </row>
    <row r="79">
      <c r="A79" s="2">
        <f>IFERROR(__xludf.DUMMYFUNCTION("""COMPUTED_VALUE"""),45943.99861111111)</f>
        <v>45943.99861</v>
      </c>
      <c r="B79" s="3">
        <f>IFERROR(__xludf.DUMMYFUNCTION("""COMPUTED_VALUE"""),1.019065233E7)</f>
        <v>10190652.33</v>
      </c>
    </row>
    <row r="80">
      <c r="A80" s="2">
        <f>IFERROR(__xludf.DUMMYFUNCTION("""COMPUTED_VALUE"""),45944.99861111111)</f>
        <v>45944.99861</v>
      </c>
      <c r="B80" s="3">
        <f>IFERROR(__xludf.DUMMYFUNCTION("""COMPUTED_VALUE"""),1.008681953E7)</f>
        <v>10086819.53</v>
      </c>
    </row>
    <row r="81">
      <c r="A81" s="2">
        <f>IFERROR(__xludf.DUMMYFUNCTION("""COMPUTED_VALUE"""),45945.99861111111)</f>
        <v>45945.99861</v>
      </c>
      <c r="B81" s="3">
        <f>IFERROR(__xludf.DUMMYFUNCTION("""COMPUTED_VALUE"""),9846834.396)</f>
        <v>9846834.396</v>
      </c>
    </row>
    <row r="82">
      <c r="A82" s="2">
        <f>IFERROR(__xludf.DUMMYFUNCTION("""COMPUTED_VALUE"""),45946.99861111111)</f>
        <v>45946.99861</v>
      </c>
      <c r="B82" s="3">
        <f>IFERROR(__xludf.DUMMYFUNCTION("""COMPUTED_VALUE"""),9806519.519)</f>
        <v>9806519.519</v>
      </c>
    </row>
    <row r="83">
      <c r="A83" s="2">
        <f>IFERROR(__xludf.DUMMYFUNCTION("""COMPUTED_VALUE"""),45947.99861111111)</f>
        <v>45947.99861</v>
      </c>
      <c r="B83" s="3">
        <f>IFERROR(__xludf.DUMMYFUNCTION("""COMPUTED_VALUE"""),9607914.117)</f>
        <v>9607914.117</v>
      </c>
    </row>
    <row r="84">
      <c r="A84" s="2">
        <f>IFERROR(__xludf.DUMMYFUNCTION("""COMPUTED_VALUE"""),45948.99861111111)</f>
        <v>45948.99861</v>
      </c>
      <c r="B84" s="3">
        <f>IFERROR(__xludf.DUMMYFUNCTION("""COMPUTED_VALUE"""),9430323.054)</f>
        <v>9430323.054</v>
      </c>
    </row>
    <row r="85">
      <c r="A85" s="2">
        <f>IFERROR(__xludf.DUMMYFUNCTION("""COMPUTED_VALUE"""),45949.99861111111)</f>
        <v>45949.99861</v>
      </c>
      <c r="B85" s="3">
        <f>IFERROR(__xludf.DUMMYFUNCTION("""COMPUTED_VALUE"""),9448419.74)</f>
        <v>9448419.74</v>
      </c>
    </row>
    <row r="86">
      <c r="A86" s="2">
        <f>IFERROR(__xludf.DUMMYFUNCTION("""COMPUTED_VALUE"""),45950.99861111111)</f>
        <v>45950.99861</v>
      </c>
      <c r="B86" s="3">
        <f>IFERROR(__xludf.DUMMYFUNCTION("""COMPUTED_VALUE"""),9688339.388)</f>
        <v>9688339.388</v>
      </c>
    </row>
    <row r="87">
      <c r="A87" s="2">
        <f>IFERROR(__xludf.DUMMYFUNCTION("""COMPUTED_VALUE"""),45951.99861111111)</f>
        <v>45951.99861</v>
      </c>
      <c r="B87" s="3">
        <f>IFERROR(__xludf.DUMMYFUNCTION("""COMPUTED_VALUE"""),9606069.852)</f>
        <v>9606069.852</v>
      </c>
    </row>
    <row r="88">
      <c r="A88" s="2">
        <f>IFERROR(__xludf.DUMMYFUNCTION("""COMPUTED_VALUE"""),45952.99861111111)</f>
        <v>45952.99861</v>
      </c>
      <c r="B88" s="3">
        <f>IFERROR(__xludf.DUMMYFUNCTION("""COMPUTED_VALUE"""),9494702.502)</f>
        <v>9494702.502</v>
      </c>
    </row>
    <row r="89">
      <c r="A89" s="2">
        <f>IFERROR(__xludf.DUMMYFUNCTION("""COMPUTED_VALUE"""),45953.99861111111)</f>
        <v>45953.99861</v>
      </c>
      <c r="B89" s="3">
        <f>IFERROR(__xludf.DUMMYFUNCTION("""COMPUTED_VALUE"""),9516876.289)</f>
        <v>9516876.289</v>
      </c>
    </row>
    <row r="90">
      <c r="A90" s="2">
        <f>IFERROR(__xludf.DUMMYFUNCTION("""COMPUTED_VALUE"""),45954.99861111111)</f>
        <v>45954.99861</v>
      </c>
      <c r="B90" s="3">
        <f>IFERROR(__xludf.DUMMYFUNCTION("""COMPUTED_VALUE"""),9699422.659)</f>
        <v>9699422.659</v>
      </c>
    </row>
    <row r="91">
      <c r="A91" s="2">
        <f>IFERROR(__xludf.DUMMYFUNCTION("""COMPUTED_VALUE"""),45955.99861111111)</f>
        <v>45955.99861</v>
      </c>
      <c r="B91" s="3">
        <f>IFERROR(__xludf.DUMMYFUNCTION("""COMPUTED_VALUE"""),9753053.464)</f>
        <v>9753053.464</v>
      </c>
    </row>
    <row r="92">
      <c r="A92" s="2">
        <f>IFERROR(__xludf.DUMMYFUNCTION("""COMPUTED_VALUE"""),45956.99861111111)</f>
        <v>45956.99861</v>
      </c>
      <c r="B92" s="3">
        <f>IFERROR(__xludf.DUMMYFUNCTION("""COMPUTED_VALUE"""),9773980.001)</f>
        <v>9773980.001</v>
      </c>
    </row>
    <row r="93">
      <c r="A93" s="2">
        <f>IFERROR(__xludf.DUMMYFUNCTION("""COMPUTED_VALUE"""),45957.99861111111)</f>
        <v>45957.99861</v>
      </c>
      <c r="B93" s="3">
        <f>IFERROR(__xludf.DUMMYFUNCTION("""COMPUTED_VALUE"""),1.014208319E7)</f>
        <v>10142083.19</v>
      </c>
    </row>
    <row r="94">
      <c r="A94" s="2">
        <f>IFERROR(__xludf.DUMMYFUNCTION("""COMPUTED_VALUE"""),45958.99861111111)</f>
        <v>45958.99861</v>
      </c>
      <c r="B94" s="3">
        <f>IFERROR(__xludf.DUMMYFUNCTION("""COMPUTED_VALUE"""),1.004985493E7)</f>
        <v>10049854.93</v>
      </c>
    </row>
    <row r="95">
      <c r="A95" s="2">
        <f>IFERROR(__xludf.DUMMYFUNCTION("""COMPUTED_VALUE"""),45959.99861111111)</f>
        <v>45959.99861</v>
      </c>
      <c r="B95" s="3">
        <f>IFERROR(__xludf.DUMMYFUNCTION("""COMPUTED_VALUE"""),9944419.269)</f>
        <v>9944419.269</v>
      </c>
    </row>
    <row r="96">
      <c r="A96" s="2">
        <f>IFERROR(__xludf.DUMMYFUNCTION("""COMPUTED_VALUE"""),45960.99861111111)</f>
        <v>45960.99861</v>
      </c>
      <c r="B96" s="3">
        <f>IFERROR(__xludf.DUMMYFUNCTION("""COMPUTED_VALUE"""),9809242.159)</f>
        <v>9809242.159</v>
      </c>
    </row>
    <row r="97">
      <c r="A97" s="2">
        <f>IFERROR(__xludf.DUMMYFUNCTION("""COMPUTED_VALUE"""),45961.99861111111)</f>
        <v>45961.99861</v>
      </c>
      <c r="B97" s="3">
        <f>IFERROR(__xludf.DUMMYFUNCTION("""COMPUTED_VALUE"""),9699201.209)</f>
        <v>9699201.209</v>
      </c>
    </row>
    <row r="98">
      <c r="A98" s="2">
        <f>IFERROR(__xludf.DUMMYFUNCTION("""COMPUTED_VALUE"""),45962.99861111111)</f>
        <v>45962.99861</v>
      </c>
      <c r="B98" s="3">
        <f>IFERROR(__xludf.DUMMYFUNCTION("""COMPUTED_VALUE"""),9789014.786)</f>
        <v>9789014.786</v>
      </c>
    </row>
    <row r="99">
      <c r="A99" s="2">
        <f>IFERROR(__xludf.DUMMYFUNCTION("""COMPUTED_VALUE"""),45963.99861111111)</f>
        <v>45963.99861</v>
      </c>
      <c r="B99" s="3">
        <f>IFERROR(__xludf.DUMMYFUNCTION("""COMPUTED_VALUE"""),9773052.969)</f>
        <v>9773052.969</v>
      </c>
    </row>
    <row r="100">
      <c r="A100" s="2">
        <f>IFERROR(__xludf.DUMMYFUNCTION("""COMPUTED_VALUE"""),45964.99861111111)</f>
        <v>45964.99861</v>
      </c>
      <c r="B100" s="3">
        <f>IFERROR(__xludf.DUMMYFUNCTION("""COMPUTED_VALUE"""),9570655.264)</f>
        <v>9570655.264</v>
      </c>
    </row>
    <row r="101">
      <c r="A101" s="2">
        <f>IFERROR(__xludf.DUMMYFUNCTION("""COMPUTED_VALUE"""),45965.99861111111)</f>
        <v>45965.99861</v>
      </c>
      <c r="B101" s="3">
        <f>IFERROR(__xludf.DUMMYFUNCTION("""COMPUTED_VALUE"""),9474341.553)</f>
        <v>9474341.553</v>
      </c>
    </row>
    <row r="102">
      <c r="A102" s="2">
        <f>IFERROR(__xludf.DUMMYFUNCTION("""COMPUTED_VALUE"""),45966.99861111111)</f>
        <v>45966.99861</v>
      </c>
      <c r="B102" s="3">
        <f>IFERROR(__xludf.DUMMYFUNCTION("""COMPUTED_VALUE"""),9027260.138)</f>
        <v>9027260.138</v>
      </c>
    </row>
    <row r="103">
      <c r="A103" s="2">
        <f>IFERROR(__xludf.DUMMYFUNCTION("""COMPUTED_VALUE"""),45967.99861111111)</f>
        <v>45967.99861</v>
      </c>
      <c r="B103" s="3">
        <f>IFERROR(__xludf.DUMMYFUNCTION("""COMPUTED_VALUE"""),9219872.715)</f>
        <v>9219872.715</v>
      </c>
    </row>
    <row r="104">
      <c r="A104" s="2">
        <f>IFERROR(__xludf.DUMMYFUNCTION("""COMPUTED_VALUE"""),45968.99861111111)</f>
        <v>45968.99861</v>
      </c>
      <c r="B104" s="3">
        <f>IFERROR(__xludf.DUMMYFUNCTION("""COMPUTED_VALUE"""),9036350.139)</f>
        <v>9036350.139</v>
      </c>
    </row>
    <row r="105">
      <c r="A105" s="2">
        <f>IFERROR(__xludf.DUMMYFUNCTION("""COMPUTED_VALUE"""),45969.99861111111)</f>
        <v>45969.99861</v>
      </c>
      <c r="B105" s="3">
        <f>IFERROR(__xludf.DUMMYFUNCTION("""COMPUTED_VALUE"""),9091491.897)</f>
        <v>9091491.897</v>
      </c>
    </row>
    <row r="106">
      <c r="A106" s="2">
        <f>IFERROR(__xludf.DUMMYFUNCTION("""COMPUTED_VALUE"""),45970.99861111111)</f>
        <v>45970.99861</v>
      </c>
      <c r="B106" s="3">
        <f>IFERROR(__xludf.DUMMYFUNCTION("""COMPUTED_VALUE"""),9020082.651)</f>
        <v>9020082.651</v>
      </c>
    </row>
    <row r="107">
      <c r="A107" s="2">
        <f>IFERROR(__xludf.DUMMYFUNCTION("""COMPUTED_VALUE"""),45971.99861111111)</f>
        <v>45971.99861</v>
      </c>
      <c r="B107" s="3">
        <f>IFERROR(__xludf.DUMMYFUNCTION("""COMPUTED_VALUE"""),9417571.53)</f>
        <v>9417571.53</v>
      </c>
    </row>
    <row r="108">
      <c r="A108" s="2">
        <f>IFERROR(__xludf.DUMMYFUNCTION("""COMPUTED_VALUE"""),45972.99861111111)</f>
        <v>45972.99861</v>
      </c>
      <c r="B108" s="3">
        <f>IFERROR(__xludf.DUMMYFUNCTION("""COMPUTED_VALUE"""),9353828.444)</f>
        <v>9353828.444</v>
      </c>
    </row>
    <row r="109">
      <c r="A109" s="2">
        <f>IFERROR(__xludf.DUMMYFUNCTION("""COMPUTED_VALUE"""),45973.99861111111)</f>
        <v>45973.99861</v>
      </c>
      <c r="B109" s="3">
        <f>IFERROR(__xludf.DUMMYFUNCTION("""COMPUTED_VALUE"""),9145292.838)</f>
        <v>9145292.838</v>
      </c>
    </row>
    <row r="110">
      <c r="A110" s="2">
        <f>IFERROR(__xludf.DUMMYFUNCTION("""COMPUTED_VALUE"""),45974.99861111111)</f>
        <v>45974.99861</v>
      </c>
      <c r="B110" s="3">
        <f>IFERROR(__xludf.DUMMYFUNCTION("""COMPUTED_VALUE"""),9074989.294)</f>
        <v>9074989.294</v>
      </c>
    </row>
    <row r="111">
      <c r="A111" s="2">
        <f>IFERROR(__xludf.DUMMYFUNCTION("""COMPUTED_VALUE"""),45975.99861111111)</f>
        <v>45975.99861</v>
      </c>
      <c r="B111" s="3">
        <f>IFERROR(__xludf.DUMMYFUNCTION("""COMPUTED_VALUE"""),8675822.218)</f>
        <v>8675822.218</v>
      </c>
    </row>
    <row r="112">
      <c r="A112" s="2">
        <f>IFERROR(__xludf.DUMMYFUNCTION("""COMPUTED_VALUE"""),45976.99861111111)</f>
        <v>45976.99861</v>
      </c>
      <c r="B112" s="3">
        <f>IFERROR(__xludf.DUMMYFUNCTION("""COMPUTED_VALUE"""),8524954.545)</f>
        <v>8524954.545</v>
      </c>
    </row>
    <row r="113">
      <c r="A113" s="2">
        <f>IFERROR(__xludf.DUMMYFUNCTION("""COMPUTED_VALUE"""),45977.99861111111)</f>
        <v>45977.99861</v>
      </c>
      <c r="B113" s="3">
        <f>IFERROR(__xludf.DUMMYFUNCTION("""COMPUTED_VALUE"""),8495832.263)</f>
        <v>8495832.263</v>
      </c>
    </row>
    <row r="114">
      <c r="A114" s="2">
        <f>IFERROR(__xludf.DUMMYFUNCTION("""COMPUTED_VALUE"""),45978.99861111111)</f>
        <v>45978.99861</v>
      </c>
      <c r="B114" s="3">
        <f>IFERROR(__xludf.DUMMYFUNCTION("""COMPUTED_VALUE"""),8435379.33)</f>
        <v>8435379.33</v>
      </c>
    </row>
    <row r="115">
      <c r="A115" s="2">
        <f>IFERROR(__xludf.DUMMYFUNCTION("""COMPUTED_VALUE"""),45979.99861111111)</f>
        <v>45979.99861</v>
      </c>
      <c r="B115" s="3">
        <f>IFERROR(__xludf.DUMMYFUNCTION("""COMPUTED_VALUE"""),7978036.948)</f>
        <v>7978036.948</v>
      </c>
    </row>
    <row r="116">
      <c r="A116" s="2">
        <f>IFERROR(__xludf.DUMMYFUNCTION("""COMPUTED_VALUE"""),45980.99861111111)</f>
        <v>45980.99861</v>
      </c>
      <c r="B116" s="3">
        <f>IFERROR(__xludf.DUMMYFUNCTION("""COMPUTED_VALUE"""),8086537.272)</f>
        <v>8086537.272</v>
      </c>
    </row>
    <row r="117">
      <c r="A117" s="2">
        <f>IFERROR(__xludf.DUMMYFUNCTION("""COMPUTED_VALUE"""),45981.99861111111)</f>
        <v>45981.99861</v>
      </c>
      <c r="B117" s="3">
        <f>IFERROR(__xludf.DUMMYFUNCTION("""COMPUTED_VALUE"""),8227129.27)</f>
        <v>8227129.27</v>
      </c>
    </row>
    <row r="118">
      <c r="A118" s="2">
        <f>IFERROR(__xludf.DUMMYFUNCTION("""COMPUTED_VALUE"""),45982.99861111111)</f>
        <v>45982.99861</v>
      </c>
      <c r="B118" s="3">
        <f>IFERROR(__xludf.DUMMYFUNCTION("""COMPUTED_VALUE"""),7705295.204)</f>
        <v>7705295.204</v>
      </c>
    </row>
    <row r="119">
      <c r="A119" s="2">
        <f>IFERROR(__xludf.DUMMYFUNCTION("""COMPUTED_VALUE"""),45983.99861111111)</f>
        <v>45983.99861</v>
      </c>
      <c r="B119" s="3">
        <f>IFERROR(__xludf.DUMMYFUNCTION("""COMPUTED_VALUE"""),7547606.105)</f>
        <v>7547606.105</v>
      </c>
    </row>
    <row r="120">
      <c r="A120" s="2">
        <f>IFERROR(__xludf.DUMMYFUNCTION("""COMPUTED_VALUE"""),45984.99861111111)</f>
        <v>45984.99861</v>
      </c>
      <c r="B120" s="3">
        <f>IFERROR(__xludf.DUMMYFUNCTION("""COMPUTED_VALUE"""),7757001.652)</f>
        <v>7757001.652</v>
      </c>
    </row>
    <row r="121">
      <c r="A121" s="2">
        <f>IFERROR(__xludf.DUMMYFUNCTION("""COMPUTED_VALUE"""),45985.99861111111)</f>
        <v>45985.99861</v>
      </c>
      <c r="B121" s="3">
        <f>IFERROR(__xludf.DUMMYFUNCTION("""COMPUTED_VALUE"""),7730816.091)</f>
        <v>7730816.091</v>
      </c>
    </row>
    <row r="122">
      <c r="A122" s="2">
        <f>IFERROR(__xludf.DUMMYFUNCTION("""COMPUTED_VALUE"""),45986.99861111111)</f>
        <v>45986.99861</v>
      </c>
      <c r="B122" s="3">
        <f>IFERROR(__xludf.DUMMYFUNCTION("""COMPUTED_VALUE"""),7873896.887)</f>
        <v>7873896.887</v>
      </c>
    </row>
    <row r="123">
      <c r="A123" s="2">
        <f>IFERROR(__xludf.DUMMYFUNCTION("""COMPUTED_VALUE"""),45987.99861111111)</f>
        <v>45987.99861</v>
      </c>
      <c r="B123" s="3">
        <f>IFERROR(__xludf.DUMMYFUNCTION("""COMPUTED_VALUE"""),7779012.56)</f>
        <v>7779012.56</v>
      </c>
    </row>
    <row r="124">
      <c r="A124" s="2">
        <f>IFERROR(__xludf.DUMMYFUNCTION("""COMPUTED_VALUE"""),45988.99861111111)</f>
        <v>45988.99861</v>
      </c>
      <c r="B124" s="3">
        <f>IFERROR(__xludf.DUMMYFUNCTION("""COMPUTED_VALUE"""),8157625.553)</f>
        <v>8157625.553</v>
      </c>
    </row>
    <row r="125">
      <c r="A125" s="2">
        <f>IFERROR(__xludf.DUMMYFUNCTION("""COMPUTED_VALUE"""),45989.99861111111)</f>
        <v>45989.99861</v>
      </c>
      <c r="B125" s="3">
        <f>IFERROR(__xludf.DUMMYFUNCTION("""COMPUTED_VALUE"""),8170727.06)</f>
        <v>8170727.06</v>
      </c>
    </row>
    <row r="126">
      <c r="A126" s="2">
        <f>IFERROR(__xludf.DUMMYFUNCTION("""COMPUTED_VALUE"""),45990.99861111111)</f>
        <v>45990.99861</v>
      </c>
      <c r="B126" s="3">
        <f>IFERROR(__xludf.DUMMYFUNCTION("""COMPUTED_VALUE"""),8118625.388)</f>
        <v>8118625.388</v>
      </c>
    </row>
    <row r="127">
      <c r="A127" s="2">
        <f>IFERROR(__xludf.DUMMYFUNCTION("""COMPUTED_VALUE"""),45991.99861111111)</f>
        <v>45991.99861</v>
      </c>
      <c r="B127" s="3">
        <f>IFERROR(__xludf.DUMMYFUNCTION("""COMPUTED_VALUE"""),8121859.603)</f>
        <v>8121859.603</v>
      </c>
    </row>
    <row r="128">
      <c r="A128" s="2">
        <f>IFERROR(__xludf.DUMMYFUNCTION("""COMPUTED_VALUE"""),45992.99861111111)</f>
        <v>45992.99861</v>
      </c>
      <c r="B128" s="3">
        <f>IFERROR(__xludf.DUMMYFUNCTION("""COMPUTED_VALUE"""),7689483.873)</f>
        <v>7689483.873</v>
      </c>
    </row>
    <row r="129">
      <c r="A129" s="2">
        <f>IFERROR(__xludf.DUMMYFUNCTION("""COMPUTED_VALUE"""),45993.99861111111)</f>
        <v>45993.99861</v>
      </c>
      <c r="B129" s="3">
        <f>IFERROR(__xludf.DUMMYFUNCTION("""COMPUTED_VALUE"""),7819754.501)</f>
        <v>7819754.501</v>
      </c>
    </row>
    <row r="130">
      <c r="A130" s="2">
        <f>IFERROR(__xludf.DUMMYFUNCTION("""COMPUTED_VALUE"""),45994.99861111111)</f>
        <v>45994.99861</v>
      </c>
      <c r="B130" s="3">
        <f>IFERROR(__xludf.DUMMYFUNCTION("""COMPUTED_VALUE"""),8409125.899)</f>
        <v>8409125.899</v>
      </c>
    </row>
    <row r="131">
      <c r="A131" s="2">
        <f>IFERROR(__xludf.DUMMYFUNCTION("""COMPUTED_VALUE"""),45995.99861111111)</f>
        <v>45995.99861</v>
      </c>
      <c r="B131" s="3">
        <f>IFERROR(__xludf.DUMMYFUNCTION("""COMPUTED_VALUE"""),8385948.548)</f>
        <v>8385948.548</v>
      </c>
    </row>
    <row r="132">
      <c r="A132" s="2">
        <f>IFERROR(__xludf.DUMMYFUNCTION("""COMPUTED_VALUE"""),45996.99861111111)</f>
        <v>45996.99861</v>
      </c>
      <c r="B132" s="3">
        <f>IFERROR(__xludf.DUMMYFUNCTION("""COMPUTED_VALUE"""),8271819.971)</f>
        <v>8271819.971</v>
      </c>
    </row>
    <row r="133">
      <c r="A133" s="2">
        <f>IFERROR(__xludf.DUMMYFUNCTION("""COMPUTED_VALUE"""),45997.99861111111)</f>
        <v>45997.99861</v>
      </c>
      <c r="B133" s="3">
        <f>IFERROR(__xludf.DUMMYFUNCTION("""COMPUTED_VALUE"""),8064327.703)</f>
        <v>8064327.703</v>
      </c>
    </row>
    <row r="134">
      <c r="A134" s="2">
        <f>IFERROR(__xludf.DUMMYFUNCTION("""COMPUTED_VALUE"""),45998.99861111111)</f>
        <v>45998.99861</v>
      </c>
      <c r="B134" s="3">
        <f>IFERROR(__xludf.DUMMYFUNCTION("""COMPUTED_VALUE"""),8056604.668)</f>
        <v>8056604.668</v>
      </c>
    </row>
    <row r="135">
      <c r="A135" s="2">
        <f>IFERROR(__xludf.DUMMYFUNCTION("""COMPUTED_VALUE"""),45999.99861111111)</f>
        <v>45999.99861</v>
      </c>
      <c r="B135" s="3">
        <f>IFERROR(__xludf.DUMMYFUNCTION("""COMPUTED_VALUE"""),8227280.909)</f>
        <v>8227280.909</v>
      </c>
    </row>
    <row r="136">
      <c r="A136" s="2">
        <f>IFERROR(__xludf.DUMMYFUNCTION("""COMPUTED_VALUE"""),46000.99861111111)</f>
        <v>46000.99861</v>
      </c>
      <c r="B136" s="3">
        <f>IFERROR(__xludf.DUMMYFUNCTION("""COMPUTED_VALUE"""),8088552.967)</f>
        <v>8088552.967</v>
      </c>
    </row>
    <row r="137">
      <c r="A137" s="2">
        <f>IFERROR(__xludf.DUMMYFUNCTION("""COMPUTED_VALUE"""),46001.99861111111)</f>
        <v>46001.99861</v>
      </c>
      <c r="B137" s="3">
        <f>IFERROR(__xludf.DUMMYFUNCTION("""COMPUTED_VALUE"""),8312274.495)</f>
        <v>8312274.495</v>
      </c>
    </row>
    <row r="138">
      <c r="A138" s="2">
        <f>IFERROR(__xludf.DUMMYFUNCTION("""COMPUTED_VALUE"""),46002.99861111111)</f>
        <v>46002.99861</v>
      </c>
      <c r="B138" s="3">
        <f>IFERROR(__xludf.DUMMYFUNCTION("""COMPUTED_VALUE"""),8165006.598)</f>
        <v>8165006.598</v>
      </c>
    </row>
    <row r="139">
      <c r="A139" s="2">
        <f>IFERROR(__xludf.DUMMYFUNCTION("""COMPUTED_VALUE"""),46003.99861111111)</f>
        <v>46003.99861</v>
      </c>
      <c r="B139" s="3">
        <f>IFERROR(__xludf.DUMMYFUNCTION("""COMPUTED_VALUE"""),8366971.498)</f>
        <v>8366971.498</v>
      </c>
    </row>
    <row r="140">
      <c r="A140" s="2">
        <f>IFERROR(__xludf.DUMMYFUNCTION("""COMPUTED_VALUE"""),46004.99861111111)</f>
        <v>46004.99861</v>
      </c>
      <c r="B140" s="3">
        <f>IFERROR(__xludf.DUMMYFUNCTION("""COMPUTED_VALUE"""),8188429.638)</f>
        <v>8188429.638</v>
      </c>
    </row>
    <row r="141">
      <c r="A141" s="2">
        <f>IFERROR(__xludf.DUMMYFUNCTION("""COMPUTED_VALUE"""),46005.99861111111)</f>
        <v>46005.99861</v>
      </c>
      <c r="B141" s="3">
        <f>IFERROR(__xludf.DUMMYFUNCTION("""COMPUTED_VALUE"""),8170732.879)</f>
        <v>8170732.879</v>
      </c>
    </row>
    <row r="142">
      <c r="A142" s="2">
        <f>IFERROR(__xludf.DUMMYFUNCTION("""COMPUTED_VALUE"""),46006.99861111111)</f>
        <v>46006.99861</v>
      </c>
      <c r="B142" s="3">
        <f>IFERROR(__xludf.DUMMYFUNCTION("""COMPUTED_VALUE"""),8140833.357)</f>
        <v>8140833.357</v>
      </c>
    </row>
    <row r="143">
      <c r="A143" s="2">
        <f>IFERROR(__xludf.DUMMYFUNCTION("""COMPUTED_VALUE"""),46007.99861111111)</f>
        <v>46007.99861</v>
      </c>
      <c r="B143" s="3">
        <f>IFERROR(__xludf.DUMMYFUNCTION("""COMPUTED_VALUE"""),7805953.094)</f>
        <v>7805953.094</v>
      </c>
    </row>
    <row r="144">
      <c r="A144" s="2">
        <f>IFERROR(__xludf.DUMMYFUNCTION("""COMPUTED_VALUE"""),46008.99861111111)</f>
        <v>46008.99861</v>
      </c>
      <c r="B144" s="3">
        <f>IFERROR(__xludf.DUMMYFUNCTION("""COMPUTED_VALUE"""),7847442.625)</f>
        <v>7847442.625</v>
      </c>
    </row>
    <row r="145">
      <c r="A145" s="2">
        <f>IFERROR(__xludf.DUMMYFUNCTION("""COMPUTED_VALUE"""),46009.99861111111)</f>
        <v>46009.99861</v>
      </c>
      <c r="B145" s="3">
        <f>IFERROR(__xludf.DUMMYFUNCTION("""COMPUTED_VALUE"""),7830359.445)</f>
        <v>7830359.445</v>
      </c>
    </row>
    <row r="146">
      <c r="A146" s="2">
        <f>IFERROR(__xludf.DUMMYFUNCTION("""COMPUTED_VALUE"""),46010.99861111111)</f>
        <v>46010.99861</v>
      </c>
      <c r="B146" s="3">
        <f>IFERROR(__xludf.DUMMYFUNCTION("""COMPUTED_VALUE"""),7799671.4)</f>
        <v>7799671.4</v>
      </c>
    </row>
    <row r="147">
      <c r="A147" s="2">
        <f>IFERROR(__xludf.DUMMYFUNCTION("""COMPUTED_VALUE"""),46011.99861111111)</f>
        <v>46011.99861</v>
      </c>
      <c r="B147" s="3">
        <f>IFERROR(__xludf.DUMMYFUNCTION("""COMPUTED_VALUE"""),7905270.872)</f>
        <v>7905270.872</v>
      </c>
    </row>
    <row r="148">
      <c r="A148" s="2">
        <f>IFERROR(__xludf.DUMMYFUNCTION("""COMPUTED_VALUE"""),46012.99861111111)</f>
        <v>46012.99861</v>
      </c>
      <c r="B148" s="3">
        <f>IFERROR(__xludf.DUMMYFUNCTION("""COMPUTED_VALUE"""),7889467.12)</f>
        <v>7889467.12</v>
      </c>
    </row>
    <row r="149">
      <c r="A149" s="2">
        <f>IFERROR(__xludf.DUMMYFUNCTION("""COMPUTED_VALUE"""),46013.99861111111)</f>
        <v>46013.99861</v>
      </c>
      <c r="B149" s="3">
        <f>IFERROR(__xludf.DUMMYFUNCTION("""COMPUTED_VALUE"""),7963804.671)</f>
        <v>7963804.671</v>
      </c>
    </row>
    <row r="150">
      <c r="A150" s="2">
        <f>IFERROR(__xludf.DUMMYFUNCTION("""COMPUTED_VALUE"""),46014.99861111111)</f>
        <v>46014.99861</v>
      </c>
      <c r="B150" s="3">
        <f>IFERROR(__xludf.DUMMYFUNCTION("""COMPUTED_VALUE"""),7874340.247)</f>
        <v>7874340.247</v>
      </c>
    </row>
    <row r="151">
      <c r="A151" s="2">
        <f>IFERROR(__xludf.DUMMYFUNCTION("""COMPUTED_VALUE"""),46015.99861111111)</f>
        <v>46015.99861</v>
      </c>
      <c r="B151" s="3">
        <f>IFERROR(__xludf.DUMMYFUNCTION("""COMPUTED_VALUE"""),7823487.523)</f>
        <v>7823487.523</v>
      </c>
    </row>
    <row r="152">
      <c r="A152" s="2">
        <f>IFERROR(__xludf.DUMMYFUNCTION("""COMPUTED_VALUE"""),46016.99861111111)</f>
        <v>46016.99861</v>
      </c>
      <c r="B152" s="3">
        <f>IFERROR(__xludf.DUMMYFUNCTION("""COMPUTED_VALUE"""),7908479.507)</f>
        <v>7908479.507</v>
      </c>
    </row>
    <row r="153">
      <c r="A153" s="2">
        <f>IFERROR(__xludf.DUMMYFUNCTION("""COMPUTED_VALUE"""),46017.99861111111)</f>
        <v>46017.99861</v>
      </c>
      <c r="B153" s="3">
        <f>IFERROR(__xludf.DUMMYFUNCTION("""COMPUTED_VALUE"""),7987202.751)</f>
        <v>7987202.751</v>
      </c>
    </row>
    <row r="154">
      <c r="A154" s="2">
        <f>IFERROR(__xludf.DUMMYFUNCTION("""COMPUTED_VALUE"""),46018.99861111111)</f>
        <v>46018.99861</v>
      </c>
      <c r="B154" s="3">
        <f>IFERROR(__xludf.DUMMYFUNCTION("""COMPUTED_VALUE"""),7856413.087)</f>
        <v>7856413.087</v>
      </c>
    </row>
    <row r="155">
      <c r="A155" s="2">
        <f>IFERROR(__xludf.DUMMYFUNCTION("""COMPUTED_VALUE"""),46019.99861111111)</f>
        <v>46019.99861</v>
      </c>
      <c r="B155" s="3">
        <f>IFERROR(__xludf.DUMMYFUNCTION("""COMPUTED_VALUE"""),7876894.167)</f>
        <v>7876894.167</v>
      </c>
    </row>
    <row r="156">
      <c r="A156" s="2">
        <f>IFERROR(__xludf.DUMMYFUNCTION("""COMPUTED_VALUE"""),46020.99861111111)</f>
        <v>46020.99861</v>
      </c>
      <c r="B156" s="3">
        <f>IFERROR(__xludf.DUMMYFUNCTION("""COMPUTED_VALUE"""),8098684.652)</f>
        <v>8098684.652</v>
      </c>
    </row>
    <row r="157">
      <c r="A157" s="2">
        <f>IFERROR(__xludf.DUMMYFUNCTION("""COMPUTED_VALUE"""),46021.99861111111)</f>
        <v>46021.99861</v>
      </c>
      <c r="B157" s="3">
        <f>IFERROR(__xludf.DUMMYFUNCTION("""COMPUTED_VALUE"""),7829874.686)</f>
        <v>7829874.686</v>
      </c>
    </row>
    <row r="158">
      <c r="A158" s="2">
        <f>IFERROR(__xludf.DUMMYFUNCTION("""COMPUTED_VALUE"""),46022.99861111111)</f>
        <v>46022.99861</v>
      </c>
      <c r="B158" s="3">
        <f>IFERROR(__xludf.DUMMYFUNCTION("""COMPUTED_VALUE"""),7940292.785)</f>
        <v>7940292.785</v>
      </c>
    </row>
    <row r="159">
      <c r="A159" s="2">
        <f>IFERROR(__xludf.DUMMYFUNCTION("""COMPUTED_VALUE"""),46023.99861111111)</f>
        <v>46023.99861</v>
      </c>
      <c r="B159" s="3">
        <f>IFERROR(__xludf.DUMMYFUNCTION("""COMPUTED_VALUE"""),7863831.468)</f>
        <v>7863831.468</v>
      </c>
    </row>
    <row r="160">
      <c r="A160" s="2">
        <f>IFERROR(__xludf.DUMMYFUNCTION("""COMPUTED_VALUE"""),46024.99861111111)</f>
        <v>46024.99861</v>
      </c>
      <c r="B160" s="3">
        <f>IFERROR(__xludf.DUMMYFUNCTION("""COMPUTED_VALUE"""),7970482.866)</f>
        <v>7970482.866</v>
      </c>
    </row>
    <row r="161">
      <c r="A161" s="2">
        <f>IFERROR(__xludf.DUMMYFUNCTION("""COMPUTED_VALUE"""),46025.99861111111)</f>
        <v>46025.99861</v>
      </c>
      <c r="B161" s="3">
        <f>IFERROR(__xludf.DUMMYFUNCTION("""COMPUTED_VALUE"""),8113394.69)</f>
        <v>8113394.69</v>
      </c>
    </row>
    <row r="162">
      <c r="A162" s="2">
        <f>IFERROR(__xludf.DUMMYFUNCTION("""COMPUTED_VALUE"""),46026.99861111111)</f>
        <v>46026.99861</v>
      </c>
      <c r="B162" s="3">
        <f>IFERROR(__xludf.DUMMYFUNCTION("""COMPUTED_VALUE"""),8224365.323)</f>
        <v>8224365.323</v>
      </c>
    </row>
    <row r="163">
      <c r="A163" s="2">
        <f>IFERROR(__xludf.DUMMYFUNCTION("""COMPUTED_VALUE"""),46027.99861111111)</f>
        <v>46027.99861</v>
      </c>
      <c r="B163" s="3">
        <f>IFERROR(__xludf.DUMMYFUNCTION("""COMPUTED_VALUE"""),8351820.302)</f>
        <v>8351820.302</v>
      </c>
    </row>
    <row r="164">
      <c r="A164" s="2">
        <f>IFERROR(__xludf.DUMMYFUNCTION("""COMPUTED_VALUE"""),46028.99861111111)</f>
        <v>46028.99861</v>
      </c>
      <c r="B164" s="3">
        <f>IFERROR(__xludf.DUMMYFUNCTION("""COMPUTED_VALUE"""),8458627.008)</f>
        <v>8458627.008</v>
      </c>
    </row>
    <row r="165">
      <c r="A165" s="2">
        <f>IFERROR(__xludf.DUMMYFUNCTION("""COMPUTED_VALUE"""),46029.99861111111)</f>
        <v>46029.99861</v>
      </c>
      <c r="B165" s="3">
        <f>IFERROR(__xludf.DUMMYFUNCTION("""COMPUTED_VALUE"""),8323683.759)</f>
        <v>8323683.759</v>
      </c>
    </row>
    <row r="166">
      <c r="A166" s="2">
        <f>IFERROR(__xludf.DUMMYFUNCTION("""COMPUTED_VALUE"""),46030.99861111111)</f>
        <v>46030.99861</v>
      </c>
      <c r="B166" s="3">
        <f>IFERROR(__xludf.DUMMYFUNCTION("""COMPUTED_VALUE"""),8176294.662)</f>
        <v>8176294.662</v>
      </c>
    </row>
    <row r="167">
      <c r="A167" s="2">
        <f>IFERROR(__xludf.DUMMYFUNCTION("""COMPUTED_VALUE"""),46031.99861111111)</f>
        <v>46031.99861</v>
      </c>
      <c r="B167" s="3">
        <f>IFERROR(__xludf.DUMMYFUNCTION("""COMPUTED_VALUE"""),8209260.845)</f>
        <v>8209260.845</v>
      </c>
    </row>
    <row r="168">
      <c r="A168" s="2">
        <f>IFERROR(__xludf.DUMMYFUNCTION("""COMPUTED_VALUE"""),46032.99861111111)</f>
        <v>46032.99861</v>
      </c>
      <c r="B168" s="3">
        <f>IFERROR(__xludf.DUMMYFUNCTION("""COMPUTED_VALUE"""),8156954.994)</f>
        <v>8156954.994</v>
      </c>
    </row>
    <row r="169">
      <c r="A169" s="2">
        <f>IFERROR(__xludf.DUMMYFUNCTION("""COMPUTED_VALUE"""),46033.99861111111)</f>
        <v>46033.99861</v>
      </c>
      <c r="B169" s="3">
        <f>IFERROR(__xludf.DUMMYFUNCTION("""COMPUTED_VALUE"""),8185261.539)</f>
        <v>8185261.539</v>
      </c>
    </row>
    <row r="170">
      <c r="A170" s="2">
        <f>IFERROR(__xludf.DUMMYFUNCTION("""COMPUTED_VALUE"""),46034.99861111111)</f>
        <v>46034.99861</v>
      </c>
      <c r="B170" s="3">
        <f>IFERROR(__xludf.DUMMYFUNCTION("""COMPUTED_VALUE"""),8297553.269)</f>
        <v>8297553.269</v>
      </c>
    </row>
    <row r="171">
      <c r="A171" s="2">
        <f>IFERROR(__xludf.DUMMYFUNCTION("""COMPUTED_VALUE"""),46035.99861111111)</f>
        <v>46035.99861</v>
      </c>
      <c r="B171" s="3">
        <f>IFERROR(__xludf.DUMMYFUNCTION("""COMPUTED_VALUE"""),8252595.168)</f>
        <v>8252595.168</v>
      </c>
    </row>
    <row r="172">
      <c r="A172" s="2">
        <f>IFERROR(__xludf.DUMMYFUNCTION("""COMPUTED_VALUE"""),46036.99861111111)</f>
        <v>46036.99861</v>
      </c>
      <c r="B172" s="3">
        <f>IFERROR(__xludf.DUMMYFUNCTION("""COMPUTED_VALUE"""),8585474.007)</f>
        <v>8585474.007</v>
      </c>
    </row>
    <row r="173">
      <c r="A173" s="2">
        <f>IFERROR(__xludf.DUMMYFUNCTION("""COMPUTED_VALUE"""),46037.99861111111)</f>
        <v>46037.99861</v>
      </c>
      <c r="B173" s="3">
        <f>IFERROR(__xludf.DUMMYFUNCTION("""COMPUTED_VALUE"""),8688378.081)</f>
        <v>8688378.081</v>
      </c>
    </row>
    <row r="174">
      <c r="A174" s="2">
        <f>IFERROR(__xludf.DUMMYFUNCTION("""COMPUTED_VALUE"""),46038.99861111111)</f>
        <v>46038.99861</v>
      </c>
      <c r="B174" s="3">
        <f>IFERROR(__xludf.DUMMYFUNCTION("""COMPUTED_VALUE"""),8616886.068)</f>
        <v>8616886.068</v>
      </c>
    </row>
    <row r="175">
      <c r="A175" s="2">
        <f>IFERROR(__xludf.DUMMYFUNCTION("""COMPUTED_VALUE"""),46039.99861111111)</f>
        <v>46039.99861</v>
      </c>
      <c r="B175" s="3">
        <f>IFERROR(__xludf.DUMMYFUNCTION("""COMPUTED_VALUE"""),8653631.514)</f>
        <v>8653631.514</v>
      </c>
    </row>
    <row r="176">
      <c r="A176" s="2">
        <f>IFERROR(__xludf.DUMMYFUNCTION("""COMPUTED_VALUE"""),46040.99861111111)</f>
        <v>46040.99861</v>
      </c>
      <c r="B176" s="3">
        <f>IFERROR(__xludf.DUMMYFUNCTION("""COMPUTED_VALUE"""),8622486.764)</f>
        <v>8622486.764</v>
      </c>
    </row>
    <row r="177">
      <c r="A177" s="2">
        <f>IFERROR(__xludf.DUMMYFUNCTION("""COMPUTED_VALUE"""),46041.99861111111)</f>
        <v>46041.99861</v>
      </c>
      <c r="B177" s="3">
        <f>IFERROR(__xludf.DUMMYFUNCTION("""COMPUTED_VALUE"""),8425301.773)</f>
        <v>8425301.773</v>
      </c>
    </row>
    <row r="178">
      <c r="A178" s="2">
        <f>IFERROR(__xludf.DUMMYFUNCTION("""COMPUTED_VALUE"""),46042.99861111111)</f>
        <v>46042.99861</v>
      </c>
      <c r="B178" s="3">
        <f>IFERROR(__xludf.DUMMYFUNCTION("""COMPUTED_VALUE"""),8384696.944)</f>
        <v>8384696.944</v>
      </c>
    </row>
    <row r="179">
      <c r="A179" s="2">
        <f>IFERROR(__xludf.DUMMYFUNCTION("""COMPUTED_VALUE"""),46043.99861111111)</f>
        <v>46043.99861</v>
      </c>
      <c r="B179" s="3">
        <f>IFERROR(__xludf.DUMMYFUNCTION("""COMPUTED_VALUE"""),8180806.534)</f>
        <v>8180806.534</v>
      </c>
    </row>
    <row r="180">
      <c r="A180" s="2">
        <f>IFERROR(__xludf.DUMMYFUNCTION("""COMPUTED_VALUE"""),46044.99861111111)</f>
        <v>46044.99861</v>
      </c>
      <c r="B180" s="3">
        <f>IFERROR(__xludf.DUMMYFUNCTION("""COMPUTED_VALUE"""),8237101.056)</f>
        <v>8237101.056</v>
      </c>
    </row>
    <row r="181">
      <c r="A181" s="2">
        <f>IFERROR(__xludf.DUMMYFUNCTION("""COMPUTED_VALUE"""),46045.99861111111)</f>
        <v>46045.99861</v>
      </c>
      <c r="B181" s="3">
        <f>IFERROR(__xludf.DUMMYFUNCTION("""COMPUTED_VALUE"""),8223897.669)</f>
        <v>8223897.669</v>
      </c>
    </row>
    <row r="182">
      <c r="A182" s="2">
        <f>IFERROR(__xludf.DUMMYFUNCTION("""COMPUTED_VALUE"""),46046.99861111111)</f>
        <v>46046.99861</v>
      </c>
      <c r="B182" s="3">
        <f>IFERROR(__xludf.DUMMYFUNCTION("""COMPUTED_VALUE"""),8213496.679)</f>
        <v>8213496.679</v>
      </c>
    </row>
    <row r="183">
      <c r="A183" s="2">
        <f>IFERROR(__xludf.DUMMYFUNCTION("""COMPUTED_VALUE"""),46047.99861111111)</f>
        <v>46047.99861</v>
      </c>
      <c r="B183" s="3">
        <f>IFERROR(__xludf.DUMMYFUNCTION("""COMPUTED_VALUE"""),8137826.267)</f>
        <v>8137826.267</v>
      </c>
    </row>
    <row r="184">
      <c r="A184" s="2">
        <f>IFERROR(__xludf.DUMMYFUNCTION("""COMPUTED_VALUE"""),46048.99861111111)</f>
        <v>46048.99861</v>
      </c>
      <c r="B184" s="3">
        <f>IFERROR(__xludf.DUMMYFUNCTION("""COMPUTED_VALUE"""),8039033.824)</f>
        <v>8039033.824</v>
      </c>
    </row>
    <row r="185">
      <c r="A185" s="2">
        <f>IFERROR(__xludf.DUMMYFUNCTION("""COMPUTED_VALUE"""),46049.99861111111)</f>
        <v>46049.99861</v>
      </c>
      <c r="B185" s="3">
        <f>IFERROR(__xludf.DUMMYFUNCTION("""COMPUTED_VALUE"""),8104089.022)</f>
        <v>8104089.022</v>
      </c>
    </row>
    <row r="186">
      <c r="A186" s="2">
        <f>IFERROR(__xludf.DUMMYFUNCTION("""COMPUTED_VALUE"""),46050.99861111111)</f>
        <v>46050.99861</v>
      </c>
      <c r="B186" s="3">
        <f>IFERROR(__xludf.DUMMYFUNCTION("""COMPUTED_VALUE"""),8182150.997)</f>
        <v>8182150.997</v>
      </c>
    </row>
    <row r="187">
      <c r="A187" s="2">
        <f>IFERROR(__xludf.DUMMYFUNCTION("""COMPUTED_VALUE"""),46051.99861111111)</f>
        <v>46051.99861</v>
      </c>
      <c r="B187" s="3">
        <f>IFERROR(__xludf.DUMMYFUNCTION("""COMPUTED_VALUE"""),8097810.569)</f>
        <v>8097810.569</v>
      </c>
    </row>
    <row r="188">
      <c r="A188" s="2">
        <f>IFERROR(__xludf.DUMMYFUNCTION("""COMPUTED_VALUE"""),46052.99861111111)</f>
        <v>46052.99861</v>
      </c>
      <c r="B188" s="3">
        <f>IFERROR(__xludf.DUMMYFUNCTION("""COMPUTED_VALUE"""),7594777.45)</f>
        <v>7594777.45</v>
      </c>
    </row>
    <row r="189">
      <c r="A189" s="2">
        <f>IFERROR(__xludf.DUMMYFUNCTION("""COMPUTED_VALUE"""),46053.99861111111)</f>
        <v>46053.99861</v>
      </c>
      <c r="B189" s="3">
        <f>IFERROR(__xludf.DUMMYFUNCTION("""COMPUTED_VALUE"""),7691646.218)</f>
        <v>7691646.218</v>
      </c>
    </row>
    <row r="190">
      <c r="A190" s="2">
        <f>IFERROR(__xludf.DUMMYFUNCTION("""COMPUTED_VALUE"""),46054.99861111111)</f>
        <v>46054.99861</v>
      </c>
      <c r="B190" s="3">
        <f>IFERROR(__xludf.DUMMYFUNCTION("""COMPUTED_VALUE"""),7244867.436)</f>
        <v>7244867.436</v>
      </c>
    </row>
    <row r="191">
      <c r="A191" s="2">
        <f>IFERROR(__xludf.DUMMYFUNCTION("""COMPUTED_VALUE"""),46055.99861111111)</f>
        <v>46055.99861</v>
      </c>
      <c r="B191" s="3">
        <f>IFERROR(__xludf.DUMMYFUNCTION("""COMPUTED_VALUE"""),6847358.728)</f>
        <v>6847358.728</v>
      </c>
    </row>
    <row r="192">
      <c r="A192" s="2">
        <f>IFERROR(__xludf.DUMMYFUNCTION("""COMPUTED_VALUE"""),46056.99861111111)</f>
        <v>46056.99861</v>
      </c>
      <c r="B192" s="3">
        <f>IFERROR(__xludf.DUMMYFUNCTION("""COMPUTED_VALUE"""),7122325.192)</f>
        <v>7122325.192</v>
      </c>
    </row>
    <row r="193">
      <c r="A193" s="2">
        <f>IFERROR(__xludf.DUMMYFUNCTION("""COMPUTED_VALUE"""),46057.99861111111)</f>
        <v>46057.99861</v>
      </c>
      <c r="B193" s="3">
        <f>IFERROR(__xludf.DUMMYFUNCTION("""COMPUTED_VALUE"""),6886075.428)</f>
        <v>6886075.428</v>
      </c>
    </row>
    <row r="194">
      <c r="A194" s="2">
        <f>IFERROR(__xludf.DUMMYFUNCTION("""COMPUTED_VALUE"""),46058.99861111111)</f>
        <v>46058.99861</v>
      </c>
      <c r="B194" s="3">
        <f>IFERROR(__xludf.DUMMYFUNCTION("""COMPUTED_VALUE"""),6391667.807)</f>
        <v>6391667.807</v>
      </c>
    </row>
    <row r="195">
      <c r="A195" s="2">
        <f>IFERROR(__xludf.DUMMYFUNCTION("""COMPUTED_VALUE"""),46059.99861111111)</f>
        <v>46059.99861</v>
      </c>
      <c r="B195" s="3">
        <f>IFERROR(__xludf.DUMMYFUNCTION("""COMPUTED_VALUE"""),5875185.292)</f>
        <v>5875185.292</v>
      </c>
    </row>
    <row r="196">
      <c r="A196" s="2">
        <f>IFERROR(__xludf.DUMMYFUNCTION("""COMPUTED_VALUE"""),46060.99861111111)</f>
        <v>46060.99861</v>
      </c>
      <c r="B196" s="3">
        <f>IFERROR(__xludf.DUMMYFUNCTION("""COMPUTED_VALUE"""),6408963.306)</f>
        <v>6408963.306</v>
      </c>
    </row>
    <row r="197">
      <c r="A197" s="2">
        <f>IFERROR(__xludf.DUMMYFUNCTION("""COMPUTED_VALUE"""),46061.99861111111)</f>
        <v>46061.99861</v>
      </c>
      <c r="B197" s="3">
        <f>IFERROR(__xludf.DUMMYFUNCTION("""COMPUTED_VALUE"""),6276846.143)</f>
        <v>6276846.143</v>
      </c>
    </row>
    <row r="198">
      <c r="A198" s="2">
        <f>IFERROR(__xludf.DUMMYFUNCTION("""COMPUTED_VALUE"""),46062.99861111111)</f>
        <v>46062.99861</v>
      </c>
      <c r="B198" s="3">
        <f>IFERROR(__xludf.DUMMYFUNCTION("""COMPUTED_VALUE"""),6449000.974)</f>
        <v>6449000.974</v>
      </c>
    </row>
    <row r="199">
      <c r="A199" s="2">
        <f>IFERROR(__xludf.DUMMYFUNCTION("""COMPUTED_VALUE"""),46063.99861111111)</f>
        <v>46063.99861</v>
      </c>
      <c r="B199" s="3">
        <f>IFERROR(__xludf.DUMMYFUNCTION("""COMPUTED_VALUE"""),6325968.656)</f>
        <v>6325968.656</v>
      </c>
    </row>
    <row r="200">
      <c r="A200" s="2">
        <f>IFERROR(__xludf.DUMMYFUNCTION("""COMPUTED_VALUE"""),46064.99861111111)</f>
        <v>46064.99861</v>
      </c>
      <c r="B200" s="3">
        <f>IFERROR(__xludf.DUMMYFUNCTION("""COMPUTED_VALUE"""),6128520.554)</f>
        <v>6128520.554</v>
      </c>
    </row>
    <row r="201">
      <c r="A201" s="2">
        <f>IFERROR(__xludf.DUMMYFUNCTION("""COMPUTED_VALUE"""),46065.99861111111)</f>
        <v>46065.99861</v>
      </c>
      <c r="B201" s="3">
        <f>IFERROR(__xludf.DUMMYFUNCTION("""COMPUTED_VALUE"""),6070807.767)</f>
        <v>6070807.767</v>
      </c>
    </row>
    <row r="202">
      <c r="A202" s="2">
        <f>IFERROR(__xludf.DUMMYFUNCTION("""COMPUTED_VALUE"""),46066.99861111111)</f>
        <v>46066.99861</v>
      </c>
      <c r="B202" s="3">
        <f>IFERROR(__xludf.DUMMYFUNCTION("""COMPUTED_VALUE"""),6006965.881)</f>
        <v>6006965.881</v>
      </c>
    </row>
    <row r="203">
      <c r="A203" s="2">
        <f>IFERROR(__xludf.DUMMYFUNCTION("""COMPUTED_VALUE"""),46067.99861111111)</f>
        <v>46067.99861</v>
      </c>
      <c r="B203" s="3">
        <f>IFERROR(__xludf.DUMMYFUNCTION("""COMPUTED_VALUE"""),6232581.048)</f>
        <v>6232581.048</v>
      </c>
    </row>
    <row r="204">
      <c r="A204" s="2">
        <f>IFERROR(__xludf.DUMMYFUNCTION("""COMPUTED_VALUE"""),46068.99861111111)</f>
        <v>46068.99861</v>
      </c>
      <c r="B204" s="3">
        <f>IFERROR(__xludf.DUMMYFUNCTION("""COMPUTED_VALUE"""),6356727.897)</f>
        <v>6356727.897</v>
      </c>
    </row>
    <row r="205">
      <c r="A205" s="2">
        <f>IFERROR(__xludf.DUMMYFUNCTION("""COMPUTED_VALUE"""),46069.99861111111)</f>
        <v>46069.99861</v>
      </c>
      <c r="B205" s="3">
        <f>IFERROR(__xludf.DUMMYFUNCTION("""COMPUTED_VALUE"""),6251811.239)</f>
        <v>6251811.239</v>
      </c>
    </row>
    <row r="206">
      <c r="A206" s="2">
        <f>IFERROR(__xludf.DUMMYFUNCTION("""COMPUTED_VALUE"""),46070.99861111111)</f>
        <v>46070.99861</v>
      </c>
      <c r="B206" s="3">
        <f>IFERROR(__xludf.DUMMYFUNCTION("""COMPUTED_VALUE"""),6202604.848)</f>
        <v>6202604.848</v>
      </c>
    </row>
    <row r="207">
      <c r="A207" s="2">
        <f>IFERROR(__xludf.DUMMYFUNCTION("""COMPUTED_VALUE"""),46071.99861111111)</f>
        <v>46071.99861</v>
      </c>
      <c r="B207" s="3">
        <f>IFERROR(__xludf.DUMMYFUNCTION("""COMPUTED_VALUE"""),6156166.105)</f>
        <v>6156166.105</v>
      </c>
    </row>
    <row r="208">
      <c r="A208" s="2">
        <f>IFERROR(__xludf.DUMMYFUNCTION("""COMPUTED_VALUE"""),46072.99861111111)</f>
        <v>46072.99861</v>
      </c>
      <c r="B208" s="3">
        <f>IFERROR(__xludf.DUMMYFUNCTION("""COMPUTED_VALUE"""),6085043.279)</f>
        <v>6085043.279</v>
      </c>
    </row>
    <row r="209">
      <c r="A209" s="2">
        <f>IFERROR(__xludf.DUMMYFUNCTION("""COMPUTED_VALUE"""),46073.99861111111)</f>
        <v>46073.99861</v>
      </c>
      <c r="B209" s="3">
        <f>IFERROR(__xludf.DUMMYFUNCTION("""COMPUTED_VALUE"""),6103926.876)</f>
        <v>6103926.876</v>
      </c>
    </row>
    <row r="210">
      <c r="A210" s="2">
        <f>IFERROR(__xludf.DUMMYFUNCTION("""COMPUTED_VALUE"""),46074.99861111111)</f>
        <v>46074.99861</v>
      </c>
      <c r="B210" s="3">
        <f>IFERROR(__xludf.DUMMYFUNCTION("""COMPUTED_VALUE"""),6153400.091)</f>
        <v>6153400.091</v>
      </c>
    </row>
    <row r="211">
      <c r="A211" s="2">
        <f>IFERROR(__xludf.DUMMYFUNCTION("""COMPUTED_VALUE"""),46075.99861111111)</f>
        <v>46075.99861</v>
      </c>
      <c r="B211" s="3">
        <f>IFERROR(__xludf.DUMMYFUNCTION("""COMPUTED_VALUE"""),6168323.709)</f>
        <v>6168323.709</v>
      </c>
    </row>
    <row r="212">
      <c r="A212" s="2">
        <f>IFERROR(__xludf.DUMMYFUNCTION("""COMPUTED_VALUE"""),46076.99861111111)</f>
        <v>46076.99861</v>
      </c>
      <c r="B212" s="3">
        <f>IFERROR(__xludf.DUMMYFUNCTION("""COMPUTED_VALUE"""),5902221.139)</f>
        <v>5902221.139</v>
      </c>
    </row>
    <row r="213">
      <c r="A213" s="2">
        <f>IFERROR(__xludf.DUMMYFUNCTION("""COMPUTED_VALUE"""),46077.99861111111)</f>
        <v>46077.99861</v>
      </c>
      <c r="B213" s="3">
        <f>IFERROR(__xludf.DUMMYFUNCTION("""COMPUTED_VALUE"""),5757541.456)</f>
        <v>5757541.456</v>
      </c>
    </row>
    <row r="214">
      <c r="A214" s="2">
        <f>IFERROR(__xludf.DUMMYFUNCTION("""COMPUTED_VALUE"""),46078.99861111111)</f>
        <v>46078.99861</v>
      </c>
      <c r="B214" s="3">
        <f>IFERROR(__xludf.DUMMYFUNCTION("""COMPUTED_VALUE"""),5955550.607)</f>
        <v>5955550.607</v>
      </c>
    </row>
    <row r="215">
      <c r="A215" s="2">
        <f>IFERROR(__xludf.DUMMYFUNCTION("""COMPUTED_VALUE"""),46079.99861111111)</f>
        <v>46079.99861</v>
      </c>
      <c r="B215" s="3">
        <f>IFERROR(__xludf.DUMMYFUNCTION("""COMPUTED_VALUE"""),6245288.177)</f>
        <v>6245288.177</v>
      </c>
    </row>
    <row r="216">
      <c r="A216" s="2">
        <f>IFERROR(__xludf.DUMMYFUNCTION("""COMPUTED_VALUE"""),46080.99861111111)</f>
        <v>46080.99861</v>
      </c>
      <c r="B216" s="3">
        <f>IFERROR(__xludf.DUMMYFUNCTION("""COMPUTED_VALUE"""),6171891.054)</f>
        <v>6171891.054</v>
      </c>
    </row>
    <row r="217">
      <c r="A217" s="2">
        <f>IFERROR(__xludf.DUMMYFUNCTION("""COMPUTED_VALUE"""),46081.99861111111)</f>
        <v>46081.99861</v>
      </c>
      <c r="B217" s="3">
        <f>IFERROR(__xludf.DUMMYFUNCTION("""COMPUTED_VALUE"""),5982907.272)</f>
        <v>5982907.272</v>
      </c>
    </row>
    <row r="218">
      <c r="A218" s="2">
        <f>IFERROR(__xludf.DUMMYFUNCTION("""COMPUTED_VALUE"""),46082.99861111111)</f>
        <v>46082.99861</v>
      </c>
      <c r="B218" s="3">
        <f>IFERROR(__xludf.DUMMYFUNCTION("""COMPUTED_VALUE"""),6134832.222)</f>
        <v>6134832.222</v>
      </c>
    </row>
    <row r="219">
      <c r="A219" s="2">
        <f>IFERROR(__xludf.DUMMYFUNCTION("""COMPUTED_VALUE"""),46083.99861111111)</f>
        <v>46083.99861</v>
      </c>
      <c r="B219" s="3">
        <f>IFERROR(__xludf.DUMMYFUNCTION("""COMPUTED_VALUE"""),6116301.437)</f>
        <v>6116301.437</v>
      </c>
    </row>
    <row r="220">
      <c r="A220" s="2">
        <f>IFERROR(__xludf.DUMMYFUNCTION("""COMPUTED_VALUE"""),46084.99861111111)</f>
        <v>46084.99861</v>
      </c>
      <c r="B220" s="3">
        <f>IFERROR(__xludf.DUMMYFUNCTION("""COMPUTED_VALUE"""),6269632.539)</f>
        <v>6269632.539</v>
      </c>
    </row>
    <row r="221">
      <c r="A221" s="2">
        <f>IFERROR(__xludf.DUMMYFUNCTION("""COMPUTED_VALUE"""),46085.99861111111)</f>
        <v>46085.99861</v>
      </c>
      <c r="B221" s="3">
        <f>IFERROR(__xludf.DUMMYFUNCTION("""COMPUTED_VALUE"""),6249875.815)</f>
        <v>6249875.815</v>
      </c>
    </row>
    <row r="222">
      <c r="A222" s="2">
        <f>IFERROR(__xludf.DUMMYFUNCTION("""COMPUTED_VALUE"""),46086.99861111111)</f>
        <v>46086.99861</v>
      </c>
      <c r="B222" s="3">
        <f>IFERROR(__xludf.DUMMYFUNCTION("""COMPUTED_VALUE"""),6686453.54)</f>
        <v>6686453.54</v>
      </c>
    </row>
    <row r="223">
      <c r="A223" s="2">
        <f>IFERROR(__xludf.DUMMYFUNCTION("""COMPUTED_VALUE"""),46087.99861111111)</f>
        <v>46087.99861</v>
      </c>
      <c r="B223" s="3">
        <f>IFERROR(__xludf.DUMMYFUNCTION("""COMPUTED_VALUE"""),6491173.952)</f>
        <v>6491173.952</v>
      </c>
    </row>
    <row r="224">
      <c r="A224" s="2">
        <f>IFERROR(__xludf.DUMMYFUNCTION("""COMPUTED_VALUE"""),46088.99861111111)</f>
        <v>46088.99861</v>
      </c>
      <c r="B224" s="3">
        <f>IFERROR(__xludf.DUMMYFUNCTION("""COMPUTED_VALUE"""),6260839.59)</f>
        <v>6260839.59</v>
      </c>
    </row>
    <row r="225">
      <c r="A225" s="2">
        <f>IFERROR(__xludf.DUMMYFUNCTION("""COMPUTED_VALUE"""),46089.99861111111)</f>
        <v>46089.99861</v>
      </c>
      <c r="B225" s="3">
        <f>IFERROR(__xludf.DUMMYFUNCTION("""COMPUTED_VALUE"""),6126783.74)</f>
        <v>6126783.74</v>
      </c>
    </row>
    <row r="226">
      <c r="A226" s="2">
        <f>IFERROR(__xludf.DUMMYFUNCTION("""COMPUTED_VALUE"""),46090.99861111111)</f>
        <v>46090.99861</v>
      </c>
      <c r="B226" s="3">
        <f>IFERROR(__xludf.DUMMYFUNCTION("""COMPUTED_VALUE"""),6131828.999)</f>
        <v>6131828.999</v>
      </c>
    </row>
    <row r="227">
      <c r="A227" s="2">
        <f>IFERROR(__xludf.DUMMYFUNCTION("""COMPUTED_VALUE"""),46091.99861111111)</f>
        <v>46091.99861</v>
      </c>
      <c r="B227" s="3">
        <f>IFERROR(__xludf.DUMMYFUNCTION("""COMPUTED_VALUE"""),6400552.833)</f>
        <v>6400552.833</v>
      </c>
    </row>
    <row r="228">
      <c r="A228" s="2">
        <f>IFERROR(__xludf.DUMMYFUNCTION("""COMPUTED_VALUE"""),46092.99861111111)</f>
        <v>46092.99861</v>
      </c>
      <c r="B228" s="3">
        <f>IFERROR(__xludf.DUMMYFUNCTION("""COMPUTED_VALUE"""),6416465.523)</f>
        <v>6416465.523</v>
      </c>
    </row>
    <row r="229">
      <c r="A229" s="2">
        <f>IFERROR(__xludf.DUMMYFUNCTION("""COMPUTED_VALUE"""),46093.99861111111)</f>
        <v>46093.99861</v>
      </c>
      <c r="B229" s="3">
        <f>IFERROR(__xludf.DUMMYFUNCTION("""COMPUTED_VALUE"""),6416337.198)</f>
        <v>6416337.198</v>
      </c>
    </row>
    <row r="230">
      <c r="A230" s="2">
        <f>IFERROR(__xludf.DUMMYFUNCTION("""COMPUTED_VALUE"""),46094.99861111111)</f>
        <v>46094.99861</v>
      </c>
      <c r="B230" s="3">
        <f>IFERROR(__xludf.DUMMYFUNCTION("""COMPUTED_VALUE"""),6608784.235)</f>
        <v>6608784.235</v>
      </c>
    </row>
    <row r="231">
      <c r="A231" s="2">
        <f>IFERROR(__xludf.DUMMYFUNCTION("""COMPUTED_VALUE"""),46095.99861111111)</f>
        <v>46095.99861</v>
      </c>
      <c r="B231" s="3">
        <f>IFERROR(__xludf.DUMMYFUNCTION("""COMPUTED_VALUE"""),6582662.265)</f>
        <v>6582662.265</v>
      </c>
    </row>
    <row r="232">
      <c r="A232" s="2">
        <f>IFERROR(__xludf.DUMMYFUNCTION("""COMPUTED_VALUE"""),46096.99861111111)</f>
        <v>46096.99861</v>
      </c>
      <c r="B232" s="3">
        <f>IFERROR(__xludf.DUMMYFUNCTION("""COMPUTED_VALUE"""),6604610.02)</f>
        <v>6604610.02</v>
      </c>
    </row>
    <row r="233">
      <c r="A233" s="2">
        <f>IFERROR(__xludf.DUMMYFUNCTION("""COMPUTED_VALUE"""),46097.99861111111)</f>
        <v>46097.99861</v>
      </c>
      <c r="B233" s="3">
        <f>IFERROR(__xludf.DUMMYFUNCTION("""COMPUTED_VALUE"""),6792689.611)</f>
        <v>6792689.611</v>
      </c>
    </row>
    <row r="234">
      <c r="A234" s="2">
        <f>IFERROR(__xludf.DUMMYFUNCTION("""COMPUTED_VALUE"""),46098.99861111111)</f>
        <v>46098.99861</v>
      </c>
      <c r="B234" s="3">
        <f>IFERROR(__xludf.DUMMYFUNCTION("""COMPUTED_VALUE"""),6881880.545)</f>
        <v>6881880.545</v>
      </c>
    </row>
    <row r="235">
      <c r="A235" s="2">
        <f>IFERROR(__xludf.DUMMYFUNCTION("""COMPUTED_VALUE"""),46099.99861111111)</f>
        <v>46099.99861</v>
      </c>
      <c r="B235" s="3">
        <f>IFERROR(__xludf.DUMMYFUNCTION("""COMPUTED_VALUE"""),6944470.6)</f>
        <v>6944470.6</v>
      </c>
    </row>
    <row r="236">
      <c r="A236" s="2">
        <f>IFERROR(__xludf.DUMMYFUNCTION("""COMPUTED_VALUE"""),46100.99861111111)</f>
        <v>46100.99861</v>
      </c>
      <c r="B236" s="3">
        <f>IFERROR(__xludf.DUMMYFUNCTION("""COMPUTED_VALUE"""),6631262.171)</f>
        <v>6631262.171</v>
      </c>
    </row>
    <row r="237">
      <c r="A237" s="2">
        <f>IFERROR(__xludf.DUMMYFUNCTION("""COMPUTED_VALUE"""),46101.99861111111)</f>
        <v>46101.99861</v>
      </c>
      <c r="B237" s="3">
        <f>IFERROR(__xludf.DUMMYFUNCTION("""COMPUTED_VALUE"""),6643155.784)</f>
        <v>6643155.784</v>
      </c>
    </row>
    <row r="238">
      <c r="A238" s="2">
        <f>IFERROR(__xludf.DUMMYFUNCTION("""COMPUTED_VALUE"""),46102.99861111111)</f>
        <v>46102.99861</v>
      </c>
      <c r="B238" s="3">
        <f>IFERROR(__xludf.DUMMYFUNCTION("""COMPUTED_VALUE"""),6637249.37)</f>
        <v>6637249.37</v>
      </c>
    </row>
    <row r="239">
      <c r="A239" s="2">
        <f>IFERROR(__xludf.DUMMYFUNCTION("""COMPUTED_VALUE"""),46103.99861111111)</f>
        <v>46103.99861</v>
      </c>
      <c r="B239" s="3">
        <f>IFERROR(__xludf.DUMMYFUNCTION("""COMPUTED_VALUE"""),6513087.859)</f>
        <v>6513087.859</v>
      </c>
    </row>
    <row r="240">
      <c r="A240" s="2">
        <f>IFERROR(__xludf.DUMMYFUNCTION("""COMPUTED_VALUE"""),46104.99861111111)</f>
        <v>46104.99861</v>
      </c>
      <c r="B240" s="3">
        <f>IFERROR(__xludf.DUMMYFUNCTION("""COMPUTED_VALUE"""),6347713.134)</f>
        <v>6347713.134</v>
      </c>
    </row>
    <row r="241">
      <c r="A241" s="2">
        <f>IFERROR(__xludf.DUMMYFUNCTION("""COMPUTED_VALUE"""),46105.99861111111)</f>
        <v>46105.99861</v>
      </c>
      <c r="B241" s="3">
        <f>IFERROR(__xludf.DUMMYFUNCTION("""COMPUTED_VALUE"""),6650310.945)</f>
        <v>6650310.945</v>
      </c>
    </row>
    <row r="242">
      <c r="A242" s="2">
        <f>IFERROR(__xludf.DUMMYFUNCTION("""COMPUTED_VALUE"""),46106.99861111111)</f>
        <v>46106.99861</v>
      </c>
      <c r="B242" s="3">
        <f>IFERROR(__xludf.DUMMYFUNCTION("""COMPUTED_VALUE"""),6695328.474)</f>
        <v>6695328.474</v>
      </c>
    </row>
    <row r="243">
      <c r="A243" s="2">
        <f>IFERROR(__xludf.DUMMYFUNCTION("""COMPUTED_VALUE"""),46107.99861111111)</f>
        <v>46107.99861</v>
      </c>
      <c r="B243" s="3">
        <f>IFERROR(__xludf.DUMMYFUNCTION("""COMPUTED_VALUE"""),6681960.108)</f>
        <v>6681960.108</v>
      </c>
    </row>
    <row r="244">
      <c r="A244" s="2">
        <f>IFERROR(__xludf.DUMMYFUNCTION("""COMPUTED_VALUE"""),46108.99861111111)</f>
        <v>46108.99861</v>
      </c>
      <c r="B244" s="3">
        <f>IFERROR(__xludf.DUMMYFUNCTION("""COMPUTED_VALUE"""),6521626.164)</f>
        <v>6521626.164</v>
      </c>
    </row>
    <row r="245">
      <c r="A245" s="2">
        <f>IFERROR(__xludf.DUMMYFUNCTION("""COMPUTED_VALUE"""),46109.99861111111)</f>
        <v>46109.99861</v>
      </c>
      <c r="B245" s="3">
        <f>IFERROR(__xludf.DUMMYFUNCTION("""COMPUTED_VALUE"""),6275456.491)</f>
        <v>6275456.491</v>
      </c>
    </row>
    <row r="246">
      <c r="A246" s="2">
        <f>IFERROR(__xludf.DUMMYFUNCTION("""COMPUTED_VALUE"""),46110.99861111111)</f>
        <v>46110.99861</v>
      </c>
      <c r="B246" s="3">
        <f>IFERROR(__xludf.DUMMYFUNCTION("""COMPUTED_VALUE"""),6342799.951)</f>
        <v>6342799.951</v>
      </c>
    </row>
    <row r="247">
      <c r="A247" s="2">
        <f>IFERROR(__xludf.DUMMYFUNCTION("""COMPUTED_VALUE"""),46111.99861111111)</f>
        <v>46111.99861</v>
      </c>
      <c r="B247" s="3">
        <f>IFERROR(__xludf.DUMMYFUNCTION("""COMPUTED_VALUE"""),6333193.484)</f>
        <v>6333193.484</v>
      </c>
    </row>
    <row r="248">
      <c r="A248" s="2">
        <f>IFERROR(__xludf.DUMMYFUNCTION("""COMPUTED_VALUE"""),46112.99861111111)</f>
        <v>46112.99861</v>
      </c>
      <c r="B248" s="3">
        <f>IFERROR(__xludf.DUMMYFUNCTION("""COMPUTED_VALUE"""),6323979.184)</f>
        <v>6323979.184</v>
      </c>
    </row>
    <row r="249">
      <c r="A249" s="2">
        <f>IFERROR(__xludf.DUMMYFUNCTION("""COMPUTED_VALUE"""),46113.99861111111)</f>
        <v>46113.99861</v>
      </c>
      <c r="B249" s="3">
        <f>IFERROR(__xludf.DUMMYFUNCTION("""COMPUTED_VALUE"""),6307522.32)</f>
        <v>6307522.32</v>
      </c>
    </row>
    <row r="250">
      <c r="A250" s="2">
        <f>IFERROR(__xludf.DUMMYFUNCTION("""COMPUTED_VALUE"""),46114.99861111111)</f>
        <v>46114.99861</v>
      </c>
      <c r="B250" s="3">
        <f>IFERROR(__xludf.DUMMYFUNCTION("""COMPUTED_VALUE"""),6191823.272)</f>
        <v>6191823.272</v>
      </c>
    </row>
    <row r="251">
      <c r="A251" s="2">
        <f>IFERROR(__xludf.DUMMYFUNCTION("""COMPUTED_VALUE"""),46115.99861111111)</f>
        <v>46115.99861</v>
      </c>
      <c r="B251" s="3">
        <f>IFERROR(__xludf.DUMMYFUNCTION("""COMPUTED_VALUE"""),6177823.518)</f>
        <v>6177823.518</v>
      </c>
    </row>
    <row r="252">
      <c r="A252" s="2">
        <f>IFERROR(__xludf.DUMMYFUNCTION("""COMPUTED_VALUE"""),46116.99861111111)</f>
        <v>46116.99861</v>
      </c>
      <c r="B252" s="3">
        <f>IFERROR(__xludf.DUMMYFUNCTION("""COMPUTED_VALUE"""),6199284.33)</f>
        <v>6199284.33</v>
      </c>
    </row>
    <row r="253">
      <c r="A253" s="2">
        <f>IFERROR(__xludf.DUMMYFUNCTION("""COMPUTED_VALUE"""),46117.99861111111)</f>
        <v>46117.99861</v>
      </c>
      <c r="B253" s="3">
        <f>IFERROR(__xludf.DUMMYFUNCTION("""COMPUTED_VALUE"""),6241150.667)</f>
        <v>6241150.667</v>
      </c>
    </row>
    <row r="254">
      <c r="A254" s="2">
        <f>IFERROR(__xludf.DUMMYFUNCTION("""COMPUTED_VALUE"""),46118.99861111111)</f>
        <v>46118.99861</v>
      </c>
      <c r="B254" s="3">
        <f>IFERROR(__xludf.DUMMYFUNCTION("""COMPUTED_VALUE"""),6410508.422)</f>
        <v>6410508.422</v>
      </c>
    </row>
    <row r="255">
      <c r="A255" s="2">
        <f>IFERROR(__xludf.DUMMYFUNCTION("""COMPUTED_VALUE"""),46119.99861111111)</f>
        <v>46119.99861</v>
      </c>
      <c r="B255" s="3">
        <f>IFERROR(__xludf.DUMMYFUNCTION("""COMPUTED_VALUE"""),6383960.458)</f>
        <v>6383960.458</v>
      </c>
    </row>
    <row r="256">
      <c r="A256" s="2">
        <f>IFERROR(__xludf.DUMMYFUNCTION("""COMPUTED_VALUE"""),46120.99861111111)</f>
        <v>46120.99861</v>
      </c>
      <c r="B256" s="3">
        <f>IFERROR(__xludf.DUMMYFUNCTION("""COMPUTED_VALUE"""),6578305.556)</f>
        <v>6578305.556</v>
      </c>
    </row>
    <row r="257">
      <c r="A257" s="2">
        <f>IFERROR(__xludf.DUMMYFUNCTION("""COMPUTED_VALUE"""),46121.99861111111)</f>
        <v>46121.99861</v>
      </c>
      <c r="B257" s="3">
        <f>IFERROR(__xludf.DUMMYFUNCTION("""COMPUTED_VALUE"""),6563609.045)</f>
        <v>6563609.045</v>
      </c>
    </row>
    <row r="258">
      <c r="A258" s="2">
        <f>IFERROR(__xludf.DUMMYFUNCTION("""COMPUTED_VALUE"""),46122.99861111111)</f>
        <v>46122.99861</v>
      </c>
      <c r="B258" s="3">
        <f>IFERROR(__xludf.DUMMYFUNCTION("""COMPUTED_VALUE"""),6692334.517)</f>
        <v>6692334.517</v>
      </c>
    </row>
    <row r="259">
      <c r="A259" s="2">
        <f>IFERROR(__xludf.DUMMYFUNCTION("""COMPUTED_VALUE"""),46123.99861111111)</f>
        <v>46123.99861</v>
      </c>
      <c r="B259" s="3">
        <f>IFERROR(__xludf.DUMMYFUNCTION("""COMPUTED_VALUE"""),6785087.018)</f>
        <v>6785087.018</v>
      </c>
    </row>
    <row r="260">
      <c r="A260" s="2">
        <f>IFERROR(__xludf.DUMMYFUNCTION("""COMPUTED_VALUE"""),46124.99861111111)</f>
        <v>46124.99861</v>
      </c>
      <c r="B260" s="3">
        <f>IFERROR(__xludf.DUMMYFUNCTION("""COMPUTED_VALUE"""),6773800.104)</f>
        <v>6773800.104</v>
      </c>
    </row>
    <row r="261">
      <c r="A261" s="2">
        <f>IFERROR(__xludf.DUMMYFUNCTION("""COMPUTED_VALUE"""),46125.99861111111)</f>
        <v>46125.99861</v>
      </c>
      <c r="B261" s="3">
        <f>IFERROR(__xludf.DUMMYFUNCTION("""COMPUTED_VALUE"""),6741841.853)</f>
        <v>6741841.853</v>
      </c>
    </row>
    <row r="262">
      <c r="A262" s="2">
        <f>IFERROR(__xludf.DUMMYFUNCTION("""COMPUTED_VALUE"""),46126.99861111111)</f>
        <v>46126.99861</v>
      </c>
      <c r="B262" s="3">
        <f>IFERROR(__xludf.DUMMYFUNCTION("""COMPUTED_VALUE"""),6937197.234)</f>
        <v>6937197.234</v>
      </c>
    </row>
    <row r="263">
      <c r="A263" s="2">
        <f>IFERROR(__xludf.DUMMYFUNCTION("""COMPUTED_VALUE"""),46127.99861111111)</f>
        <v>46127.99861</v>
      </c>
      <c r="B263" s="3">
        <f>IFERROR(__xludf.DUMMYFUNCTION("""COMPUTED_VALUE"""),6945575.077)</f>
        <v>6945575.077</v>
      </c>
    </row>
    <row r="264">
      <c r="A264" s="2">
        <f>IFERROR(__xludf.DUMMYFUNCTION("""COMPUTED_VALUE"""),46128.99861111111)</f>
        <v>46128.99861</v>
      </c>
      <c r="B264" s="3">
        <f>IFERROR(__xludf.DUMMYFUNCTION("""COMPUTED_VALUE"""),6888590.057)</f>
        <v>6888590.057</v>
      </c>
    </row>
    <row r="265">
      <c r="A265" s="2">
        <f>IFERROR(__xludf.DUMMYFUNCTION("""COMPUTED_VALUE"""),46129.99861111111)</f>
        <v>46129.99861</v>
      </c>
      <c r="B265" s="3">
        <f>IFERROR(__xludf.DUMMYFUNCTION("""COMPUTED_VALUE"""),6855593.67)</f>
        <v>6855593.67</v>
      </c>
    </row>
    <row r="266">
      <c r="A266" s="2">
        <f>IFERROR(__xludf.DUMMYFUNCTION("""COMPUTED_VALUE"""),46141.99861111111)</f>
        <v>46141.99861</v>
      </c>
      <c r="B266" s="3">
        <f>IFERROR(__xludf.DUMMYFUNCTION("""COMPUTED_VALUE"""),7307705.916)</f>
        <v>7307705.916</v>
      </c>
    </row>
    <row r="267">
      <c r="A267" s="2">
        <f>IFERROR(__xludf.DUMMYFUNCTION("""COMPUTED_VALUE"""),46142.99861111111)</f>
        <v>46142.99861</v>
      </c>
      <c r="B267" s="3">
        <f>IFERROR(__xludf.DUMMYFUNCTION("""COMPUTED_VALUE"""),7192499.019)</f>
        <v>7192499.019</v>
      </c>
    </row>
    <row r="268">
      <c r="A268" s="2">
        <f>IFERROR(__xludf.DUMMYFUNCTION("""COMPUTED_VALUE"""),46143.99861111111)</f>
        <v>46143.99861</v>
      </c>
      <c r="B268" s="3">
        <f>IFERROR(__xludf.DUMMYFUNCTION("""COMPUTED_VALUE"""),7306402.263)</f>
        <v>7306402.263</v>
      </c>
    </row>
    <row r="269">
      <c r="A269" s="2">
        <f>IFERROR(__xludf.DUMMYFUNCTION("""COMPUTED_VALUE"""),46144.99861111111)</f>
        <v>46144.99861</v>
      </c>
      <c r="B269" s="3">
        <f>IFERROR(__xludf.DUMMYFUNCTION("""COMPUTED_VALUE"""),7441309.115)</f>
        <v>7441309.115</v>
      </c>
    </row>
    <row r="270">
      <c r="A270" s="2">
        <f>IFERROR(__xludf.DUMMYFUNCTION("""COMPUTED_VALUE"""),46145.99861111111)</f>
        <v>46145.99861</v>
      </c>
      <c r="B270" s="3">
        <f>IFERROR(__xludf.DUMMYFUNCTION("""COMPUTED_VALUE"""),7421035.937)</f>
        <v>7421035.937</v>
      </c>
    </row>
    <row r="271">
      <c r="A271" s="2">
        <f>IFERROR(__xludf.DUMMYFUNCTION("""COMPUTED_VALUE"""),46146.99861111111)</f>
        <v>46146.99861</v>
      </c>
      <c r="B271" s="3">
        <f>IFERROR(__xludf.DUMMYFUNCTION("""COMPUTED_VALUE"""),7649841.362)</f>
        <v>7649841.362</v>
      </c>
    </row>
    <row r="272">
      <c r="A272" s="2">
        <f>IFERROR(__xludf.DUMMYFUNCTION("""COMPUTED_VALUE"""),46147.99861111111)</f>
        <v>46147.99861</v>
      </c>
      <c r="B272" s="3">
        <f>IFERROR(__xludf.DUMMYFUNCTION("""COMPUTED_VALUE"""),7697452.065)</f>
        <v>7697452.065</v>
      </c>
    </row>
    <row r="273">
      <c r="A273" s="2">
        <f>IFERROR(__xludf.DUMMYFUNCTION("""COMPUTED_VALUE"""),46148.99861111111)</f>
        <v>46148.99861</v>
      </c>
      <c r="B273" s="3">
        <f>IFERROR(__xludf.DUMMYFUNCTION("""COMPUTED_VALUE"""),7718041.169)</f>
        <v>7718041.169</v>
      </c>
    </row>
    <row r="274">
      <c r="A274" s="2">
        <f>IFERROR(__xludf.DUMMYFUNCTION("""COMPUTED_VALUE"""),46149.99861111111)</f>
        <v>46149.99861</v>
      </c>
      <c r="B274" s="3">
        <f>IFERROR(__xludf.DUMMYFUNCTION("""COMPUTED_VALUE"""),7619600.083)</f>
        <v>7619600.083</v>
      </c>
    </row>
    <row r="275">
      <c r="A275" s="2">
        <f>IFERROR(__xludf.DUMMYFUNCTION("""COMPUTED_VALUE"""),46150.99861111111)</f>
        <v>46150.99861</v>
      </c>
      <c r="B275" s="3">
        <f>IFERROR(__xludf.DUMMYFUNCTION("""COMPUTED_VALUE"""),7511258.758)</f>
        <v>7511258.758</v>
      </c>
    </row>
    <row r="276">
      <c r="A276" s="2">
        <f>IFERROR(__xludf.DUMMYFUNCTION("""COMPUTED_VALUE"""),46151.99861111111)</f>
        <v>46151.99861</v>
      </c>
      <c r="B276" s="3">
        <f>IFERROR(__xludf.DUMMYFUNCTION("""COMPUTED_VALUE"""),7589347.165)</f>
        <v>7589347.165</v>
      </c>
    </row>
    <row r="277">
      <c r="A277" s="2">
        <f>IFERROR(__xludf.DUMMYFUNCTION("""COMPUTED_VALUE"""),46152.99861111111)</f>
        <v>46152.99861</v>
      </c>
      <c r="B277" s="3">
        <f>IFERROR(__xludf.DUMMYFUNCTION("""COMPUTED_VALUE"""),7625053.543)</f>
        <v>7625053.543</v>
      </c>
    </row>
    <row r="278">
      <c r="A278" s="2">
        <f>IFERROR(__xludf.DUMMYFUNCTION("""COMPUTED_VALUE"""),46153.99861111111)</f>
        <v>46153.99861</v>
      </c>
      <c r="B278" s="3">
        <f>IFERROR(__xludf.DUMMYFUNCTION("""COMPUTED_VALUE"""),7699340.376)</f>
        <v>7699340.376</v>
      </c>
    </row>
    <row r="279">
      <c r="A279" s="2">
        <f>IFERROR(__xludf.DUMMYFUNCTION("""COMPUTED_VALUE"""),46154.99861111111)</f>
        <v>46154.99861</v>
      </c>
      <c r="B279" s="3">
        <f>IFERROR(__xludf.DUMMYFUNCTION("""COMPUTED_VALUE"""),7749817.158)</f>
        <v>7749817.158</v>
      </c>
    </row>
    <row r="280">
      <c r="A280" s="2">
        <f>IFERROR(__xludf.DUMMYFUNCTION("""COMPUTED_VALUE"""),46155.99861111111)</f>
        <v>46155.99861</v>
      </c>
      <c r="B280" s="3">
        <f>IFERROR(__xludf.DUMMYFUNCTION("""COMPUTED_VALUE"""),7774401.434)</f>
        <v>7774401.434</v>
      </c>
    </row>
    <row r="281">
      <c r="A281" s="2">
        <f>IFERROR(__xludf.DUMMYFUNCTION("""COMPUTED_VALUE"""),46156.99861111111)</f>
        <v>46156.99861</v>
      </c>
      <c r="B281" s="3">
        <f>IFERROR(__xludf.DUMMYFUNCTION("""COMPUTED_VALUE"""),7562496.692)</f>
        <v>7562496.692</v>
      </c>
    </row>
    <row r="282">
      <c r="A282" s="2">
        <f>IFERROR(__xludf.DUMMYFUNCTION("""COMPUTED_VALUE"""),46157.99861111111)</f>
        <v>46157.99861</v>
      </c>
      <c r="B282" s="3">
        <f>IFERROR(__xludf.DUMMYFUNCTION("""COMPUTED_VALUE"""),7781422.208)</f>
        <v>7781422.208</v>
      </c>
    </row>
    <row r="283">
      <c r="A283" s="2">
        <f>IFERROR(__xludf.DUMMYFUNCTION("""COMPUTED_VALUE"""),46158.99861111111)</f>
        <v>46158.99861</v>
      </c>
      <c r="B283" s="3">
        <f>IFERROR(__xludf.DUMMYFUNCTION("""COMPUTED_VALUE"""),7582678.622)</f>
        <v>7582678.622</v>
      </c>
    </row>
    <row r="284">
      <c r="A284" s="2">
        <f>IFERROR(__xludf.DUMMYFUNCTION("""COMPUTED_VALUE"""),46159.99861111111)</f>
        <v>46159.99861</v>
      </c>
      <c r="B284" s="3">
        <f>IFERROR(__xludf.DUMMYFUNCTION("""COMPUTED_VALUE"""),7485033.681)</f>
        <v>7485033.681</v>
      </c>
    </row>
    <row r="285">
      <c r="A285" s="2">
        <f>IFERROR(__xludf.DUMMYFUNCTION("""COMPUTED_VALUE"""),46160.99861111111)</f>
        <v>46160.99861</v>
      </c>
      <c r="B285" s="3">
        <f>IFERROR(__xludf.DUMMYFUNCTION("""COMPUTED_VALUE"""),7400248.877)</f>
        <v>7400248.877</v>
      </c>
    </row>
    <row r="286">
      <c r="A286" s="2">
        <f>IFERROR(__xludf.DUMMYFUNCTION("""COMPUTED_VALUE"""),46161.99861111111)</f>
        <v>46161.99861</v>
      </c>
      <c r="B286" s="3">
        <f>IFERROR(__xludf.DUMMYFUNCTION("""COMPUTED_VALUE"""),7408720.341)</f>
        <v>7408720.341</v>
      </c>
    </row>
    <row r="287">
      <c r="A287" s="2">
        <f>IFERROR(__xludf.DUMMYFUNCTION("""COMPUTED_VALUE"""),46162.99861111111)</f>
        <v>46162.99861</v>
      </c>
      <c r="B287" s="3">
        <f>IFERROR(__xludf.DUMMYFUNCTION("""COMPUTED_VALUE"""),7397698.209)</f>
        <v>7397698.209</v>
      </c>
    </row>
    <row r="288">
      <c r="A288" s="2">
        <f>IFERROR(__xludf.DUMMYFUNCTION("""COMPUTED_VALUE"""),46163.99861111111)</f>
        <v>46163.99861</v>
      </c>
      <c r="B288" s="3">
        <f>IFERROR(__xludf.DUMMYFUNCTION("""COMPUTED_VALUE"""),7501722.886)</f>
        <v>7501722.886</v>
      </c>
    </row>
    <row r="289">
      <c r="A289" s="2">
        <f>IFERROR(__xludf.DUMMYFUNCTION("""COMPUTED_VALUE"""),46164.99861111111)</f>
        <v>46164.99861</v>
      </c>
      <c r="B289" s="3">
        <f>IFERROR(__xludf.DUMMYFUNCTION("""COMPUTED_VALUE"""),7437907.677)</f>
        <v>7437907.677</v>
      </c>
    </row>
    <row r="290">
      <c r="A290" s="2">
        <f>IFERROR(__xludf.DUMMYFUNCTION("""COMPUTED_VALUE"""),46165.99861111111)</f>
        <v>46165.99861</v>
      </c>
      <c r="B290" s="3">
        <f>IFERROR(__xludf.DUMMYFUNCTION("""COMPUTED_VALUE"""),7229194.67)</f>
        <v>7229194.67</v>
      </c>
    </row>
    <row r="291">
      <c r="A291" s="2">
        <f>IFERROR(__xludf.DUMMYFUNCTION("""COMPUTED_VALUE"""),46166.99861111111)</f>
        <v>46166.99861</v>
      </c>
      <c r="B291" s="3">
        <f>IFERROR(__xludf.DUMMYFUNCTION("""COMPUTED_VALUE"""),7338347.911)</f>
        <v>7338347.911</v>
      </c>
    </row>
    <row r="292">
      <c r="A292" s="2">
        <f>IFERROR(__xludf.DUMMYFUNCTION("""COMPUTED_VALUE"""),46167.99861111111)</f>
        <v>46167.99861</v>
      </c>
      <c r="B292" s="3">
        <f>IFERROR(__xludf.DUMMYFUNCTION("""COMPUTED_VALUE"""),7328093.187)</f>
        <v>7328093.187</v>
      </c>
    </row>
    <row r="293">
      <c r="A293" s="2">
        <f>IFERROR(__xludf.DUMMYFUNCTION("""COMPUTED_VALUE"""),46168.99861111111)</f>
        <v>46168.99861</v>
      </c>
      <c r="B293" s="3">
        <f>IFERROR(__xludf.DUMMYFUNCTION("""COMPUTED_VALUE"""),7343610.806)</f>
        <v>7343610.806</v>
      </c>
    </row>
    <row r="294">
      <c r="A294" s="2">
        <f>IFERROR(__xludf.DUMMYFUNCTION("""COMPUTED_VALUE"""),46169.99861111111)</f>
        <v>46169.99861</v>
      </c>
      <c r="B294" s="3">
        <f>IFERROR(__xludf.DUMMYFUNCTION("""COMPUTED_VALUE"""),7257074.53)</f>
        <v>7257074.53</v>
      </c>
    </row>
    <row r="295">
      <c r="A295" s="2">
        <f>IFERROR(__xludf.DUMMYFUNCTION("""COMPUTED_VALUE"""),46170.99861111111)</f>
        <v>46170.99861</v>
      </c>
      <c r="B295" s="3">
        <f>IFERROR(__xludf.DUMMYFUNCTION("""COMPUTED_VALUE"""),7024005.826)</f>
        <v>7024005.826</v>
      </c>
    </row>
    <row r="296">
      <c r="A296" s="2">
        <f>IFERROR(__xludf.DUMMYFUNCTION("""COMPUTED_VALUE"""),46171.99861111111)</f>
        <v>46171.99861</v>
      </c>
      <c r="B296" s="3">
        <f>IFERROR(__xludf.DUMMYFUNCTION("""COMPUTED_VALUE"""),6953026.663)</f>
        <v>6953026.663</v>
      </c>
    </row>
    <row r="297">
      <c r="A297" s="2">
        <f>IFERROR(__xludf.DUMMYFUNCTION("""COMPUTED_VALUE"""),46172.99861111111)</f>
        <v>46172.99861</v>
      </c>
      <c r="B297" s="3">
        <f>IFERROR(__xludf.DUMMYFUNCTION("""COMPUTED_VALUE"""),6975742.529)</f>
        <v>6975742.529</v>
      </c>
    </row>
    <row r="298">
      <c r="A298" s="2">
        <f>IFERROR(__xludf.DUMMYFUNCTION("""COMPUTED_VALUE"""),46173.99861111111)</f>
        <v>46173.99861</v>
      </c>
      <c r="B298" s="3">
        <f>IFERROR(__xludf.DUMMYFUNCTION("""COMPUTED_VALUE"""),7033266.846)</f>
        <v>7033266.846</v>
      </c>
    </row>
    <row r="299">
      <c r="A299" s="2">
        <f>IFERROR(__xludf.DUMMYFUNCTION("""COMPUTED_VALUE"""),46174.99861111111)</f>
        <v>46174.99861</v>
      </c>
      <c r="B299" s="3">
        <f>IFERROR(__xludf.DUMMYFUNCTION("""COMPUTED_VALUE"""),7038481.427)</f>
        <v>7038481.427</v>
      </c>
    </row>
    <row r="300">
      <c r="A300" s="2">
        <f>IFERROR(__xludf.DUMMYFUNCTION("""COMPUTED_VALUE"""),46175.99861111111)</f>
        <v>46175.99861</v>
      </c>
      <c r="B300" s="3">
        <f>IFERROR(__xludf.DUMMYFUNCTION("""COMPUTED_VALUE"""),6748383.288)</f>
        <v>6748383.288</v>
      </c>
    </row>
    <row r="301">
      <c r="A301" s="2">
        <f>IFERROR(__xludf.DUMMYFUNCTION("""COMPUTED_VALUE"""),46176.99861111111)</f>
        <v>46176.99861</v>
      </c>
      <c r="B301" s="3">
        <f>IFERROR(__xludf.DUMMYFUNCTION("""COMPUTED_VALUE"""),6323899.648)</f>
        <v>6323899.648</v>
      </c>
    </row>
    <row r="302">
      <c r="A302" s="2">
        <f>IFERROR(__xludf.DUMMYFUNCTION("""COMPUTED_VALUE"""),46177.99861111111)</f>
        <v>46177.99861</v>
      </c>
      <c r="B302" s="3">
        <f>IFERROR(__xludf.DUMMYFUNCTION("""COMPUTED_VALUE"""),6157016.364)</f>
        <v>6157016.364</v>
      </c>
    </row>
    <row r="303">
      <c r="A303" s="2">
        <f>IFERROR(__xludf.DUMMYFUNCTION("""COMPUTED_VALUE"""),46178.99861111111)</f>
        <v>46178.99861</v>
      </c>
      <c r="B303" s="3">
        <f>IFERROR(__xludf.DUMMYFUNCTION("""COMPUTED_VALUE"""),5978020.119)</f>
        <v>5978020.119</v>
      </c>
    </row>
    <row r="304">
      <c r="A304" s="2">
        <f>IFERROR(__xludf.DUMMYFUNCTION("""COMPUTED_VALUE"""),46179.99861111111)</f>
        <v>46179.99861</v>
      </c>
      <c r="B304" s="3">
        <f>IFERROR(__xludf.DUMMYFUNCTION("""COMPUTED_VALUE"""),5762318.533)</f>
        <v>5762318.533</v>
      </c>
    </row>
    <row r="305">
      <c r="A305" s="2">
        <f>IFERROR(__xludf.DUMMYFUNCTION("""COMPUTED_VALUE"""),46180.99861111111)</f>
        <v>46180.99861</v>
      </c>
      <c r="B305" s="3">
        <f>IFERROR(__xludf.DUMMYFUNCTION("""COMPUTED_VALUE"""),5857715.685)</f>
        <v>5857715.685</v>
      </c>
    </row>
    <row r="306">
      <c r="A306" s="2">
        <f>IFERROR(__xludf.DUMMYFUNCTION("""COMPUTED_VALUE"""),46181.99861111111)</f>
        <v>46181.99861</v>
      </c>
      <c r="B306" s="3">
        <f>IFERROR(__xludf.DUMMYFUNCTION("""COMPUTED_VALUE"""),6038748.908)</f>
        <v>6038748.908</v>
      </c>
    </row>
    <row r="307">
      <c r="A307" s="2">
        <f>IFERROR(__xludf.DUMMYFUNCTION("""COMPUTED_VALUE"""),46182.99861111111)</f>
        <v>46182.99861</v>
      </c>
      <c r="B307" s="3">
        <f>IFERROR(__xludf.DUMMYFUNCTION("""COMPUTED_VALUE"""),5992439.344)</f>
        <v>5992439.344</v>
      </c>
    </row>
    <row r="308">
      <c r="A308" s="2">
        <f>IFERROR(__xludf.DUMMYFUNCTION("""COMPUTED_VALUE"""),46183.99861111111)</f>
        <v>46183.99861</v>
      </c>
      <c r="B308" s="3">
        <f>IFERROR(__xludf.DUMMYFUNCTION("""COMPUTED_VALUE"""),5882515.502)</f>
        <v>5882515.502</v>
      </c>
    </row>
    <row r="309">
      <c r="A309" s="2">
        <f>IFERROR(__xludf.DUMMYFUNCTION("""COMPUTED_VALUE"""),46184.99861111111)</f>
        <v>46184.99861</v>
      </c>
      <c r="B309" s="3">
        <f>IFERROR(__xludf.DUMMYFUNCTION("""COMPUTED_VALUE"""),5997326.744)</f>
        <v>5997326.744</v>
      </c>
    </row>
    <row r="310">
      <c r="A310" s="2">
        <f>IFERROR(__xludf.DUMMYFUNCTION("""COMPUTED_VALUE"""),46185.99861111111)</f>
        <v>46185.99861</v>
      </c>
      <c r="B310" s="3">
        <f>IFERROR(__xludf.DUMMYFUNCTION("""COMPUTED_VALUE"""),6036819.28)</f>
        <v>6036819.28</v>
      </c>
    </row>
    <row r="311">
      <c r="A311" s="2">
        <f>IFERROR(__xludf.DUMMYFUNCTION("""COMPUTED_VALUE"""),46186.99861111111)</f>
        <v>46186.99861</v>
      </c>
      <c r="B311" s="3">
        <f>IFERROR(__xludf.DUMMYFUNCTION("""COMPUTED_VALUE"""),6038482.245)</f>
        <v>6038482.245</v>
      </c>
    </row>
    <row r="312">
      <c r="A312" s="2">
        <f>IFERROR(__xludf.DUMMYFUNCTION("""COMPUTED_VALUE"""),46187.99861111111)</f>
        <v>46187.99861</v>
      </c>
      <c r="B312" s="3">
        <f>IFERROR(__xludf.DUMMYFUNCTION("""COMPUTED_VALUE"""),6135905.947)</f>
        <v>6135905.947</v>
      </c>
    </row>
    <row r="313">
      <c r="A313" s="2">
        <f>IFERROR(__xludf.DUMMYFUNCTION("""COMPUTED_VALUE"""),46188.99861111111)</f>
        <v>46188.99861</v>
      </c>
      <c r="B313" s="3">
        <f>IFERROR(__xludf.DUMMYFUNCTION("""COMPUTED_VALUE"""),6242912.422)</f>
        <v>6242912.422</v>
      </c>
    </row>
    <row r="314">
      <c r="A314" s="2">
        <f>IFERROR(__xludf.DUMMYFUNCTION("""COMPUTED_VALUE"""),46189.99861111111)</f>
        <v>46189.99861</v>
      </c>
      <c r="B314" s="3">
        <f>IFERROR(__xludf.DUMMYFUNCTION("""COMPUTED_VALUE"""),6273251.401)</f>
        <v>6273251.401</v>
      </c>
    </row>
    <row r="315">
      <c r="A315" s="2">
        <f>IFERROR(__xludf.DUMMYFUNCTION("""COMPUTED_VALUE"""),46190.99861111111)</f>
        <v>46190.99861</v>
      </c>
      <c r="B315" s="3">
        <f>IFERROR(__xludf.DUMMYFUNCTION("""COMPUTED_VALUE"""),6241736.488)</f>
        <v>6241736.488</v>
      </c>
    </row>
    <row r="316">
      <c r="A316" s="2">
        <f>IFERROR(__xludf.DUMMYFUNCTION("""COMPUTED_VALUE"""),46191.99861111111)</f>
        <v>46191.99861</v>
      </c>
      <c r="B316" s="3">
        <f>IFERROR(__xludf.DUMMYFUNCTION("""COMPUTED_VALUE"""),6058041.395)</f>
        <v>6058041.395</v>
      </c>
    </row>
    <row r="317">
      <c r="A317" s="2">
        <f>IFERROR(__xludf.DUMMYFUNCTION("""COMPUTED_VALUE"""),46192.99861111111)</f>
        <v>46192.99861</v>
      </c>
      <c r="B317" s="3">
        <f>IFERROR(__xludf.DUMMYFUNCTION("""COMPUTED_VALUE"""),5914247.348)</f>
        <v>5914247.348</v>
      </c>
    </row>
    <row r="318">
      <c r="A318" s="2">
        <f>IFERROR(__xludf.DUMMYFUNCTION("""COMPUTED_VALUE"""),46193.99861111111)</f>
        <v>46193.99861</v>
      </c>
      <c r="B318" s="3">
        <f>IFERROR(__xludf.DUMMYFUNCTION("""COMPUTED_VALUE"""),5981791.105)</f>
        <v>5981791.105</v>
      </c>
    </row>
    <row r="319">
      <c r="A319" s="2">
        <f>IFERROR(__xludf.DUMMYFUNCTION("""COMPUTED_VALUE"""),46194.99861111111)</f>
        <v>46194.99861</v>
      </c>
      <c r="B319" s="3">
        <f>IFERROR(__xludf.DUMMYFUNCTION("""COMPUTED_VALUE"""),6069156.79)</f>
        <v>6069156.79</v>
      </c>
    </row>
    <row r="320">
      <c r="A320" s="2">
        <f>IFERROR(__xludf.DUMMYFUNCTION("""COMPUTED_VALUE"""),46195.99861111111)</f>
        <v>46195.99861</v>
      </c>
      <c r="B320" s="3">
        <f>IFERROR(__xludf.DUMMYFUNCTION("""COMPUTED_VALUE"""),6050095.563)</f>
        <v>6050095.563</v>
      </c>
    </row>
    <row r="321">
      <c r="A321" s="2">
        <f>IFERROR(__xludf.DUMMYFUNCTION("""COMPUTED_VALUE"""),46196.99861111111)</f>
        <v>46196.99861</v>
      </c>
      <c r="B321" s="3">
        <f>IFERROR(__xludf.DUMMYFUNCTION("""COMPUTED_VALUE"""),6090597.462)</f>
        <v>6090597.462</v>
      </c>
    </row>
    <row r="322">
      <c r="A322" s="2">
        <f>IFERROR(__xludf.DUMMYFUNCTION("""COMPUTED_VALUE"""),46197.99861111111)</f>
        <v>46197.99861</v>
      </c>
      <c r="B322" s="3">
        <f>IFERROR(__xludf.DUMMYFUNCTION("""COMPUTED_VALUE"""),5916681.522)</f>
        <v>5916681.522</v>
      </c>
    </row>
    <row r="323">
      <c r="A323" s="2">
        <f>IFERROR(__xludf.DUMMYFUNCTION("""COMPUTED_VALUE"""),46198.99861111111)</f>
        <v>46198.99861</v>
      </c>
      <c r="B323" s="3">
        <f>IFERROR(__xludf.DUMMYFUNCTION("""COMPUTED_VALUE"""),5739098.75)</f>
        <v>5739098.75</v>
      </c>
    </row>
    <row r="324">
      <c r="A324" s="2">
        <f>IFERROR(__xludf.DUMMYFUNCTION("""COMPUTED_VALUE"""),46199.99861111111)</f>
        <v>46199.99861</v>
      </c>
      <c r="B324" s="3">
        <f>IFERROR(__xludf.DUMMYFUNCTION("""COMPUTED_VALUE"""),5653504.719)</f>
        <v>5653504.719</v>
      </c>
    </row>
    <row r="325">
      <c r="A325" s="2">
        <f>IFERROR(__xludf.DUMMYFUNCTION("""COMPUTED_VALUE"""),46200.99861111111)</f>
        <v>46200.99861</v>
      </c>
      <c r="B325" s="3">
        <f>IFERROR(__xludf.DUMMYFUNCTION("""COMPUTED_VALUE"""),5681142.264)</f>
        <v>5681142.264</v>
      </c>
    </row>
    <row r="326">
      <c r="A326" s="2">
        <f>IFERROR(__xludf.DUMMYFUNCTION("""COMPUTED_VALUE"""),46201.99861111111)</f>
        <v>46201.99861</v>
      </c>
      <c r="B326" s="3">
        <f>IFERROR(__xludf.DUMMYFUNCTION("""COMPUTED_VALUE"""),5671806.081)</f>
        <v>5671806.081</v>
      </c>
    </row>
    <row r="327">
      <c r="A327" s="2">
        <f>IFERROR(__xludf.DUMMYFUNCTION("""COMPUTED_VALUE"""),46202.99861111111)</f>
        <v>46202.99861</v>
      </c>
      <c r="B327" s="3">
        <f>IFERROR(__xludf.DUMMYFUNCTION("""COMPUTED_VALUE"""),5682010.827)</f>
        <v>5682010.827</v>
      </c>
    </row>
    <row r="328">
      <c r="A328" s="2">
        <f>IFERROR(__xludf.DUMMYFUNCTION("""COMPUTED_VALUE"""),46203.99861111111)</f>
        <v>46203.99861</v>
      </c>
      <c r="B328" s="3">
        <f>IFERROR(__xludf.DUMMYFUNCTION("""COMPUTED_VALUE"""),5648948.902)</f>
        <v>5648948.902</v>
      </c>
    </row>
    <row r="329">
      <c r="A329" s="2">
        <f>IFERROR(__xludf.DUMMYFUNCTION("""COMPUTED_VALUE"""),46204.99861111111)</f>
        <v>46204.99861</v>
      </c>
      <c r="B329" s="3">
        <f>IFERROR(__xludf.DUMMYFUNCTION("""COMPUTED_VALUE"""),5639316.422)</f>
        <v>5639316.422</v>
      </c>
    </row>
    <row r="330">
      <c r="A330" s="2">
        <f>IFERROR(__xludf.DUMMYFUNCTION("""COMPUTED_VALUE"""),46205.99861111111)</f>
        <v>46205.99861</v>
      </c>
      <c r="B330" s="3">
        <f>IFERROR(__xludf.DUMMYFUNCTION("""COMPUTED_VALUE"""),5826847.413)</f>
        <v>5826847.413</v>
      </c>
    </row>
    <row r="331">
      <c r="A331" s="2">
        <f>IFERROR(__xludf.DUMMYFUNCTION("""COMPUTED_VALUE"""),46206.99861111111)</f>
        <v>46206.99861</v>
      </c>
      <c r="B331" s="3">
        <f>IFERROR(__xludf.DUMMYFUNCTION("""COMPUTED_VALUE"""),5860357.4)</f>
        <v>5860357.4</v>
      </c>
    </row>
    <row r="332">
      <c r="A332" s="2">
        <f>IFERROR(__xludf.DUMMYFUNCTION("""COMPUTED_VALUE"""),46207.99861111111)</f>
        <v>46207.99861</v>
      </c>
      <c r="B332" s="3">
        <f>IFERROR(__xludf.DUMMYFUNCTION("""COMPUTED_VALUE"""),5956264.844)</f>
        <v>5956264.844</v>
      </c>
    </row>
    <row r="333">
      <c r="A333" s="2">
        <f>IFERROR(__xludf.DUMMYFUNCTION("""COMPUTED_VALUE"""),46208.99861111111)</f>
        <v>46208.99861</v>
      </c>
      <c r="B333" s="3">
        <f>IFERROR(__xludf.DUMMYFUNCTION("""COMPUTED_VALUE"""),5971035.317)</f>
        <v>5971035.317</v>
      </c>
    </row>
    <row r="334">
      <c r="A334" s="2">
        <f>IFERROR(__xludf.DUMMYFUNCTION("""COMPUTED_VALUE"""),46209.99861111111)</f>
        <v>46209.99861</v>
      </c>
      <c r="B334" s="3">
        <f>IFERROR(__xludf.DUMMYFUNCTION("""COMPUTED_VALUE"""),6045233.017)</f>
        <v>6045233.017</v>
      </c>
    </row>
    <row r="335">
      <c r="A335" s="2">
        <f>IFERROR(__xludf.DUMMYFUNCTION("""COMPUTED_VALUE"""),46210.99861111111)</f>
        <v>46210.99861</v>
      </c>
      <c r="B335" s="3">
        <f>IFERROR(__xludf.DUMMYFUNCTION("""COMPUTED_VALUE"""),6035770.143)</f>
        <v>6035770.143</v>
      </c>
    </row>
    <row r="336">
      <c r="A336" s="2">
        <f>IFERROR(__xludf.DUMMYFUNCTION("""COMPUTED_VALUE"""),46211.99861111111)</f>
        <v>46211.99861</v>
      </c>
      <c r="B336" s="3">
        <f>IFERROR(__xludf.DUMMYFUNCTION("""COMPUTED_VALUE"""),6012316.93)</f>
        <v>6012316.93</v>
      </c>
    </row>
    <row r="337">
      <c r="A337" s="2">
        <f>IFERROR(__xludf.DUMMYFUNCTION("""COMPUTED_VALUE"""),46212.99861111111)</f>
        <v>46212.99861</v>
      </c>
      <c r="B337" s="3">
        <f>IFERROR(__xludf.DUMMYFUNCTION("""COMPUTED_VALUE"""),5905987.888)</f>
        <v>5905987.888</v>
      </c>
    </row>
    <row r="338">
      <c r="A338" s="2">
        <f>IFERROR(__xludf.DUMMYFUNCTION("""COMPUTED_VALUE"""),46213.99861111111)</f>
        <v>46213.99861</v>
      </c>
      <c r="B338" s="3">
        <f>IFERROR(__xludf.DUMMYFUNCTION("""COMPUTED_VALUE"""),6104487.454)</f>
        <v>6104487.454</v>
      </c>
    </row>
    <row r="339">
      <c r="A339" s="2">
        <f>IFERROR(__xludf.DUMMYFUNCTION("""COMPUTED_VALUE"""),46214.99861111111)</f>
        <v>46214.99861</v>
      </c>
      <c r="B339" s="3">
        <f>IFERROR(__xludf.DUMMYFUNCTION("""COMPUTED_VALUE"""),6110936.38)</f>
        <v>6110936.38</v>
      </c>
    </row>
    <row r="340">
      <c r="A340" s="2">
        <f>IFERROR(__xludf.DUMMYFUNCTION("""COMPUTED_VALUE"""),46215.99861111111)</f>
        <v>46215.99861</v>
      </c>
      <c r="B340" s="3">
        <f>IFERROR(__xludf.DUMMYFUNCTION("""COMPUTED_VALUE"""),6119391.234)</f>
        <v>6119391.234</v>
      </c>
    </row>
    <row r="341">
      <c r="A341" s="2">
        <f>IFERROR(__xludf.DUMMYFUNCTION("""COMPUTED_VALUE"""),46216.99861111111)</f>
        <v>46216.99861</v>
      </c>
      <c r="B341" s="3">
        <f>IFERROR(__xludf.DUMMYFUNCTION("""COMPUTED_VALUE"""),6043581.256)</f>
        <v>6043581.256</v>
      </c>
    </row>
    <row r="342">
      <c r="A342" s="2">
        <f>IFERROR(__xludf.DUMMYFUNCTION("""COMPUTED_VALUE"""),46217.99861111111)</f>
        <v>46217.99861</v>
      </c>
      <c r="B342" s="3">
        <f>IFERROR(__xludf.DUMMYFUNCTION("""COMPUTED_VALUE"""),6026581.25)</f>
        <v>6026581.25</v>
      </c>
    </row>
    <row r="343">
      <c r="A343" s="2">
        <f>IFERROR(__xludf.DUMMYFUNCTION("""COMPUTED_VALUE"""),46218.99861111111)</f>
        <v>46218.99861</v>
      </c>
      <c r="B343" s="3">
        <f>IFERROR(__xludf.DUMMYFUNCTION("""COMPUTED_VALUE"""),6247345.418)</f>
        <v>6247345.418</v>
      </c>
    </row>
    <row r="344">
      <c r="A344" s="2">
        <f>IFERROR(__xludf.DUMMYFUNCTION("""COMPUTED_VALUE"""),46219.99861111111)</f>
        <v>46219.99861</v>
      </c>
      <c r="B344" s="3">
        <f>IFERROR(__xludf.DUMMYFUNCTION("""COMPUTED_VALUE"""),6240072.867)</f>
        <v>6240072.867</v>
      </c>
    </row>
    <row r="345">
      <c r="A345" s="2">
        <f>IFERROR(__xludf.DUMMYFUNCTION("""COMPUTED_VALUE"""),46220.99861111111)</f>
        <v>46220.99861</v>
      </c>
      <c r="B345" s="3">
        <f>IFERROR(__xludf.DUMMYFUNCTION("""COMPUTED_VALUE"""),6130180.37)</f>
        <v>6130180.37</v>
      </c>
    </row>
    <row r="346">
      <c r="A346" s="2">
        <f>IFERROR(__xludf.DUMMYFUNCTION("""COMPUTED_VALUE"""),46221.99861111111)</f>
        <v>46221.99861</v>
      </c>
      <c r="B346" s="3">
        <f>IFERROR(__xludf.DUMMYFUNCTION("""COMPUTED_VALUE"""),6158741.912)</f>
        <v>6158741.912</v>
      </c>
    </row>
    <row r="347">
      <c r="A347" s="2">
        <f>IFERROR(__xludf.DUMMYFUNCTION("""COMPUTED_VALUE"""),46222.99861111111)</f>
        <v>46222.99861</v>
      </c>
      <c r="B347" s="3">
        <f>IFERROR(__xludf.DUMMYFUNCTION("""COMPUTED_VALUE"""),6226749.57)</f>
        <v>6226749.57</v>
      </c>
    </row>
    <row r="348">
      <c r="A348" s="2">
        <f>IFERROR(__xludf.DUMMYFUNCTION("""COMPUTED_VALUE"""),46223.99861111111)</f>
        <v>46223.99861</v>
      </c>
      <c r="B348" s="3">
        <f>IFERROR(__xludf.DUMMYFUNCTION("""COMPUTED_VALUE"""),6253914.565)</f>
        <v>6253914.565</v>
      </c>
    </row>
    <row r="349">
      <c r="A349" s="2">
        <f>IFERROR(__xludf.DUMMYFUNCTION("""COMPUTED_VALUE"""),46224.99861111111)</f>
        <v>46224.99861</v>
      </c>
      <c r="B349" s="3">
        <f>IFERROR(__xludf.DUMMYFUNCTION("""COMPUTED_VALUE"""),6312478.315)</f>
        <v>6312478.315</v>
      </c>
    </row>
    <row r="350">
      <c r="A350" s="2">
        <f>IFERROR(__xludf.DUMMYFUNCTION("""COMPUTED_VALUE"""),46225.99861111111)</f>
        <v>46225.99861</v>
      </c>
      <c r="B350" s="3">
        <f>IFERROR(__xludf.DUMMYFUNCTION("""COMPUTED_VALUE"""),6388309.465)</f>
        <v>6388309.465</v>
      </c>
    </row>
    <row r="351">
      <c r="A351" s="2">
        <f>IFERROR(__xludf.DUMMYFUNCTION("""COMPUTED_VALUE"""),46226.99861111111)</f>
        <v>46226.99861</v>
      </c>
      <c r="B351" s="3">
        <f>IFERROR(__xludf.DUMMYFUNCTION("""COMPUTED_VALUE"""),6355864.779)</f>
        <v>6355864.779</v>
      </c>
    </row>
    <row r="352">
      <c r="A352" s="2">
        <f>IFERROR(__xludf.DUMMYFUNCTION("""COMPUTED_VALUE"""),46227.99861111111)</f>
        <v>46227.99861</v>
      </c>
      <c r="B352" s="3">
        <f>IFERROR(__xludf.DUMMYFUNCTION("""COMPUTED_VALUE"""),6305167.68)</f>
        <v>6305167.68</v>
      </c>
    </row>
    <row r="353">
      <c r="A353" s="2">
        <f>IFERROR(__xludf.DUMMYFUNCTION("""COMPUTED_VALUE"""),46228.99861111111)</f>
        <v>46228.99861</v>
      </c>
      <c r="B353" s="3">
        <f>IFERROR(__xludf.DUMMYFUNCTION("""COMPUTED_VALUE"""),6181907.349)</f>
        <v>6181907.349</v>
      </c>
    </row>
    <row r="354">
      <c r="A354" s="2">
        <f>IFERROR(__xludf.DUMMYFUNCTION("""COMPUTED_VALUE"""),46229.99861111111)</f>
        <v>46229.99861</v>
      </c>
      <c r="B354" s="3">
        <f>IFERROR(__xludf.DUMMYFUNCTION("""COMPUTED_VALUE"""),6227669.597)</f>
        <v>6227669.597</v>
      </c>
    </row>
    <row r="355">
      <c r="A355" s="2">
        <f>IFERROR(__xludf.DUMMYFUNCTION("""COMPUTED_VALUE"""),46230.99861111111)</f>
        <v>46230.99861</v>
      </c>
      <c r="B355" s="3">
        <f>IFERROR(__xludf.DUMMYFUNCTION("""COMPUTED_VALUE"""),6247126.178)</f>
        <v>6247126.178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IFERROR(__xludf.DUMMYFUNCTION("GOOGLEFINANCE(""CURRENCY:ETHINR"", ""price"", DATE(2025,7,28), DATE(2026,7,28), ""DAILY"")"),"Date")</f>
        <v>Date</v>
      </c>
      <c r="B1" s="1" t="str">
        <f>IFERROR(__xludf.DUMMYFUNCTION("""COMPUTED_VALUE"""),"Close")</f>
        <v>Close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f>IFERROR(__xludf.DUMMYFUNCTION("""COMPUTED_VALUE"""),45866.99861111111)</f>
        <v>45866.99861</v>
      </c>
      <c r="B2" s="3">
        <f>IFERROR(__xludf.DUMMYFUNCTION("""COMPUTED_VALUE"""),336552.5302)</f>
        <v>336552.5302</v>
      </c>
    </row>
    <row r="3">
      <c r="A3" s="2">
        <f>IFERROR(__xludf.DUMMYFUNCTION("""COMPUTED_VALUE"""),45867.99861111111)</f>
        <v>45867.99861</v>
      </c>
      <c r="B3" s="3">
        <f>IFERROR(__xludf.DUMMYFUNCTION("""COMPUTED_VALUE"""),330099.5831)</f>
        <v>330099.5831</v>
      </c>
    </row>
    <row r="4">
      <c r="A4" s="2">
        <f>IFERROR(__xludf.DUMMYFUNCTION("""COMPUTED_VALUE"""),45868.99861111111)</f>
        <v>45868.99861</v>
      </c>
      <c r="B4" s="3">
        <f>IFERROR(__xludf.DUMMYFUNCTION("""COMPUTED_VALUE"""),334746.3224)</f>
        <v>334746.3224</v>
      </c>
    </row>
    <row r="5">
      <c r="A5" s="2">
        <f>IFERROR(__xludf.DUMMYFUNCTION("""COMPUTED_VALUE"""),45869.99861111111)</f>
        <v>45869.99861</v>
      </c>
      <c r="B5" s="3">
        <f>IFERROR(__xludf.DUMMYFUNCTION("""COMPUTED_VALUE"""),337732.4098)</f>
        <v>337732.4098</v>
      </c>
    </row>
    <row r="6">
      <c r="A6" s="2">
        <f>IFERROR(__xludf.DUMMYFUNCTION("""COMPUTED_VALUE"""),45870.99861111111)</f>
        <v>45870.99861</v>
      </c>
      <c r="B6" s="3">
        <f>IFERROR(__xludf.DUMMYFUNCTION("""COMPUTED_VALUE"""),322677.9475)</f>
        <v>322677.9475</v>
      </c>
    </row>
    <row r="7">
      <c r="A7" s="2">
        <f>IFERROR(__xludf.DUMMYFUNCTION("""COMPUTED_VALUE"""),45871.99861111111)</f>
        <v>45871.99861</v>
      </c>
      <c r="B7" s="3">
        <f>IFERROR(__xludf.DUMMYFUNCTION("""COMPUTED_VALUE"""),307248.7495)</f>
        <v>307248.7495</v>
      </c>
    </row>
    <row r="8">
      <c r="A8" s="2">
        <f>IFERROR(__xludf.DUMMYFUNCTION("""COMPUTED_VALUE"""),45872.99861111111)</f>
        <v>45872.99861</v>
      </c>
      <c r="B8" s="3">
        <f>IFERROR(__xludf.DUMMYFUNCTION("""COMPUTED_VALUE"""),300820.9161)</f>
        <v>300820.9161</v>
      </c>
    </row>
    <row r="9">
      <c r="A9" s="2">
        <f>IFERROR(__xludf.DUMMYFUNCTION("""COMPUTED_VALUE"""),45873.99861111111)</f>
        <v>45873.99861</v>
      </c>
      <c r="B9" s="3">
        <f>IFERROR(__xludf.DUMMYFUNCTION("""COMPUTED_VALUE"""),312879.84)</f>
        <v>312879.84</v>
      </c>
    </row>
    <row r="10">
      <c r="A10" s="2">
        <f>IFERROR(__xludf.DUMMYFUNCTION("""COMPUTED_VALUE"""),45874.99861111111)</f>
        <v>45874.99861</v>
      </c>
      <c r="B10" s="3">
        <f>IFERROR(__xludf.DUMMYFUNCTION("""COMPUTED_VALUE"""),320445.9303)</f>
        <v>320445.9303</v>
      </c>
    </row>
    <row r="11">
      <c r="A11" s="2">
        <f>IFERROR(__xludf.DUMMYFUNCTION("""COMPUTED_VALUE"""),45875.99861111111)</f>
        <v>45875.99861</v>
      </c>
      <c r="B11" s="3">
        <f>IFERROR(__xludf.DUMMYFUNCTION("""COMPUTED_VALUE"""),314499.1537)</f>
        <v>314499.1537</v>
      </c>
    </row>
    <row r="12">
      <c r="A12" s="2">
        <f>IFERROR(__xludf.DUMMYFUNCTION("""COMPUTED_VALUE"""),45876.99861111111)</f>
        <v>45876.99861</v>
      </c>
      <c r="B12" s="3">
        <f>IFERROR(__xludf.DUMMYFUNCTION("""COMPUTED_VALUE"""),319390.4316)</f>
        <v>319390.4316</v>
      </c>
    </row>
    <row r="13">
      <c r="A13" s="2">
        <f>IFERROR(__xludf.DUMMYFUNCTION("""COMPUTED_VALUE"""),45877.99861111111)</f>
        <v>45877.99861</v>
      </c>
      <c r="B13" s="3">
        <f>IFERROR(__xludf.DUMMYFUNCTION("""COMPUTED_VALUE"""),345259.9645)</f>
        <v>345259.9645</v>
      </c>
    </row>
    <row r="14">
      <c r="A14" s="2">
        <f>IFERROR(__xludf.DUMMYFUNCTION("""COMPUTED_VALUE"""),45878.99861111111)</f>
        <v>45878.99861</v>
      </c>
      <c r="B14" s="3">
        <f>IFERROR(__xludf.DUMMYFUNCTION("""COMPUTED_VALUE"""),354996.0259)</f>
        <v>354996.0259</v>
      </c>
    </row>
    <row r="15">
      <c r="A15" s="2">
        <f>IFERROR(__xludf.DUMMYFUNCTION("""COMPUTED_VALUE"""),45879.99861111111)</f>
        <v>45879.99861</v>
      </c>
      <c r="B15" s="3">
        <f>IFERROR(__xludf.DUMMYFUNCTION("""COMPUTED_VALUE"""),370367.0371)</f>
        <v>370367.0371</v>
      </c>
    </row>
    <row r="16">
      <c r="A16" s="2">
        <f>IFERROR(__xludf.DUMMYFUNCTION("""COMPUTED_VALUE"""),45880.99861111111)</f>
        <v>45880.99861</v>
      </c>
      <c r="B16" s="3">
        <f>IFERROR(__xludf.DUMMYFUNCTION("""COMPUTED_VALUE"""),377305.563)</f>
        <v>377305.563</v>
      </c>
    </row>
    <row r="17">
      <c r="A17" s="2">
        <f>IFERROR(__xludf.DUMMYFUNCTION("""COMPUTED_VALUE"""),45881.99861111111)</f>
        <v>45881.99861</v>
      </c>
      <c r="B17" s="3">
        <f>IFERROR(__xludf.DUMMYFUNCTION("""COMPUTED_VALUE"""),375366.377)</f>
        <v>375366.377</v>
      </c>
    </row>
    <row r="18">
      <c r="A18" s="2">
        <f>IFERROR(__xludf.DUMMYFUNCTION("""COMPUTED_VALUE"""),45882.99861111111)</f>
        <v>45882.99861</v>
      </c>
      <c r="B18" s="3">
        <f>IFERROR(__xludf.DUMMYFUNCTION("""COMPUTED_VALUE"""),406065.9607)</f>
        <v>406065.9607</v>
      </c>
    </row>
    <row r="19">
      <c r="A19" s="2">
        <f>IFERROR(__xludf.DUMMYFUNCTION("""COMPUTED_VALUE"""),45883.99861111111)</f>
        <v>45883.99861</v>
      </c>
      <c r="B19" s="3">
        <f>IFERROR(__xludf.DUMMYFUNCTION("""COMPUTED_VALUE"""),418500.7413)</f>
        <v>418500.7413</v>
      </c>
    </row>
    <row r="20">
      <c r="A20" s="2">
        <f>IFERROR(__xludf.DUMMYFUNCTION("""COMPUTED_VALUE"""),45884.99861111111)</f>
        <v>45884.99861</v>
      </c>
      <c r="B20" s="3">
        <f>IFERROR(__xludf.DUMMYFUNCTION("""COMPUTED_VALUE"""),405772.6682)</f>
        <v>405772.6682</v>
      </c>
    </row>
    <row r="21">
      <c r="A21" s="2">
        <f>IFERROR(__xludf.DUMMYFUNCTION("""COMPUTED_VALUE"""),45885.99861111111)</f>
        <v>45885.99861</v>
      </c>
      <c r="B21" s="3">
        <f>IFERROR(__xludf.DUMMYFUNCTION("""COMPUTED_VALUE"""),388071.3678)</f>
        <v>388071.3678</v>
      </c>
    </row>
    <row r="22">
      <c r="A22" s="2">
        <f>IFERROR(__xludf.DUMMYFUNCTION("""COMPUTED_VALUE"""),45886.99861111111)</f>
        <v>45886.99861</v>
      </c>
      <c r="B22" s="3">
        <f>IFERROR(__xludf.DUMMYFUNCTION("""COMPUTED_VALUE"""),389854.6213)</f>
        <v>389854.6213</v>
      </c>
    </row>
    <row r="23">
      <c r="A23" s="2">
        <f>IFERROR(__xludf.DUMMYFUNCTION("""COMPUTED_VALUE"""),45887.99861111111)</f>
        <v>45887.99861</v>
      </c>
      <c r="B23" s="3">
        <f>IFERROR(__xludf.DUMMYFUNCTION("""COMPUTED_VALUE"""),377577.8487)</f>
        <v>377577.8487</v>
      </c>
    </row>
    <row r="24">
      <c r="A24" s="2">
        <f>IFERROR(__xludf.DUMMYFUNCTION("""COMPUTED_VALUE"""),45888.99861111111)</f>
        <v>45888.99861</v>
      </c>
      <c r="B24" s="3">
        <f>IFERROR(__xludf.DUMMYFUNCTION("""COMPUTED_VALUE"""),367326.074)</f>
        <v>367326.074</v>
      </c>
    </row>
    <row r="25">
      <c r="A25" s="2">
        <f>IFERROR(__xludf.DUMMYFUNCTION("""COMPUTED_VALUE"""),45889.99861111111)</f>
        <v>45889.99861</v>
      </c>
      <c r="B25" s="3">
        <f>IFERROR(__xludf.DUMMYFUNCTION("""COMPUTED_VALUE"""),360291.0734)</f>
        <v>360291.0734</v>
      </c>
    </row>
    <row r="26">
      <c r="A26" s="2">
        <f>IFERROR(__xludf.DUMMYFUNCTION("""COMPUTED_VALUE"""),45890.99861111111)</f>
        <v>45890.99861</v>
      </c>
      <c r="B26" s="3">
        <f>IFERROR(__xludf.DUMMYFUNCTION("""COMPUTED_VALUE"""),374819.6488)</f>
        <v>374819.6488</v>
      </c>
    </row>
    <row r="27">
      <c r="A27" s="2">
        <f>IFERROR(__xludf.DUMMYFUNCTION("""COMPUTED_VALUE"""),45891.99861111111)</f>
        <v>45891.99861</v>
      </c>
      <c r="B27" s="3">
        <f>IFERROR(__xludf.DUMMYFUNCTION("""COMPUTED_VALUE"""),373507.7521)</f>
        <v>373507.7521</v>
      </c>
    </row>
    <row r="28">
      <c r="A28" s="2">
        <f>IFERROR(__xludf.DUMMYFUNCTION("""COMPUTED_VALUE"""),45892.99861111111)</f>
        <v>45892.99861</v>
      </c>
      <c r="B28" s="3">
        <f>IFERROR(__xludf.DUMMYFUNCTION("""COMPUTED_VALUE"""),409492.1567)</f>
        <v>409492.1567</v>
      </c>
    </row>
    <row r="29">
      <c r="A29" s="2">
        <f>IFERROR(__xludf.DUMMYFUNCTION("""COMPUTED_VALUE"""),45893.99861111111)</f>
        <v>45893.99861</v>
      </c>
      <c r="B29" s="3">
        <f>IFERROR(__xludf.DUMMYFUNCTION("""COMPUTED_VALUE"""),417666.5839)</f>
        <v>417666.5839</v>
      </c>
    </row>
    <row r="30">
      <c r="A30" s="2">
        <f>IFERROR(__xludf.DUMMYFUNCTION("""COMPUTED_VALUE"""),45894.99861111111)</f>
        <v>45894.99861</v>
      </c>
      <c r="B30" s="3">
        <f>IFERROR(__xludf.DUMMYFUNCTION("""COMPUTED_VALUE"""),413710.1049)</f>
        <v>413710.1049</v>
      </c>
    </row>
    <row r="31">
      <c r="A31" s="2">
        <f>IFERROR(__xludf.DUMMYFUNCTION("""COMPUTED_VALUE"""),45895.99861111111)</f>
        <v>45895.99861</v>
      </c>
      <c r="B31" s="3">
        <f>IFERROR(__xludf.DUMMYFUNCTION("""COMPUTED_VALUE"""),385625.8691)</f>
        <v>385625.8691</v>
      </c>
    </row>
    <row r="32">
      <c r="A32" s="2">
        <f>IFERROR(__xludf.DUMMYFUNCTION("""COMPUTED_VALUE"""),45896.99861111111)</f>
        <v>45896.99861</v>
      </c>
      <c r="B32" s="3">
        <f>IFERROR(__xludf.DUMMYFUNCTION("""COMPUTED_VALUE"""),403682.1386)</f>
        <v>403682.1386</v>
      </c>
    </row>
    <row r="33">
      <c r="A33" s="2">
        <f>IFERROR(__xludf.DUMMYFUNCTION("""COMPUTED_VALUE"""),45897.99861111111)</f>
        <v>45897.99861</v>
      </c>
      <c r="B33" s="3">
        <f>IFERROR(__xludf.DUMMYFUNCTION("""COMPUTED_VALUE"""),397723.6659)</f>
        <v>397723.6659</v>
      </c>
    </row>
    <row r="34">
      <c r="A34" s="2">
        <f>IFERROR(__xludf.DUMMYFUNCTION("""COMPUTED_VALUE"""),45898.99861111111)</f>
        <v>45898.99861</v>
      </c>
      <c r="B34" s="3">
        <f>IFERROR(__xludf.DUMMYFUNCTION("""COMPUTED_VALUE"""),395981.9738)</f>
        <v>395981.9738</v>
      </c>
    </row>
    <row r="35">
      <c r="A35" s="2">
        <f>IFERROR(__xludf.DUMMYFUNCTION("""COMPUTED_VALUE"""),45899.99861111111)</f>
        <v>45899.99861</v>
      </c>
      <c r="B35" s="3">
        <f>IFERROR(__xludf.DUMMYFUNCTION("""COMPUTED_VALUE"""),383713.1712)</f>
        <v>383713.1712</v>
      </c>
    </row>
    <row r="36">
      <c r="A36" s="2">
        <f>IFERROR(__xludf.DUMMYFUNCTION("""COMPUTED_VALUE"""),45900.99861111111)</f>
        <v>45900.99861</v>
      </c>
      <c r="B36" s="3">
        <f>IFERROR(__xludf.DUMMYFUNCTION("""COMPUTED_VALUE"""),395368.1937)</f>
        <v>395368.1937</v>
      </c>
    </row>
    <row r="37">
      <c r="A37" s="2">
        <f>IFERROR(__xludf.DUMMYFUNCTION("""COMPUTED_VALUE"""),45901.99861111111)</f>
        <v>45901.99861</v>
      </c>
      <c r="B37" s="3">
        <f>IFERROR(__xludf.DUMMYFUNCTION("""COMPUTED_VALUE"""),387497.2345)</f>
        <v>387497.2345</v>
      </c>
    </row>
    <row r="38">
      <c r="A38" s="2">
        <f>IFERROR(__xludf.DUMMYFUNCTION("""COMPUTED_VALUE"""),45902.99861111111)</f>
        <v>45902.99861</v>
      </c>
      <c r="B38" s="3">
        <f>IFERROR(__xludf.DUMMYFUNCTION("""COMPUTED_VALUE"""),384311.3548)</f>
        <v>384311.3548</v>
      </c>
    </row>
    <row r="39">
      <c r="A39" s="2">
        <f>IFERROR(__xludf.DUMMYFUNCTION("""COMPUTED_VALUE"""),45903.99861111111)</f>
        <v>45903.99861</v>
      </c>
      <c r="B39" s="3">
        <f>IFERROR(__xludf.DUMMYFUNCTION("""COMPUTED_VALUE"""),381735.3916)</f>
        <v>381735.3916</v>
      </c>
    </row>
    <row r="40">
      <c r="A40" s="2">
        <f>IFERROR(__xludf.DUMMYFUNCTION("""COMPUTED_VALUE"""),45904.99861111111)</f>
        <v>45904.99861</v>
      </c>
      <c r="B40" s="3">
        <f>IFERROR(__xludf.DUMMYFUNCTION("""COMPUTED_VALUE"""),387836.1958)</f>
        <v>387836.1958</v>
      </c>
    </row>
    <row r="41">
      <c r="A41" s="2">
        <f>IFERROR(__xludf.DUMMYFUNCTION("""COMPUTED_VALUE"""),45905.99861111111)</f>
        <v>45905.99861</v>
      </c>
      <c r="B41" s="3">
        <f>IFERROR(__xludf.DUMMYFUNCTION("""COMPUTED_VALUE"""),381509.8783)</f>
        <v>381509.8783</v>
      </c>
    </row>
    <row r="42">
      <c r="A42" s="2">
        <f>IFERROR(__xludf.DUMMYFUNCTION("""COMPUTED_VALUE"""),45906.99861111111)</f>
        <v>45906.99861</v>
      </c>
      <c r="B42" s="3">
        <f>IFERROR(__xludf.DUMMYFUNCTION("""COMPUTED_VALUE"""),380789.5251)</f>
        <v>380789.5251</v>
      </c>
    </row>
    <row r="43">
      <c r="A43" s="2">
        <f>IFERROR(__xludf.DUMMYFUNCTION("""COMPUTED_VALUE"""),45907.99861111111)</f>
        <v>45907.99861</v>
      </c>
      <c r="B43" s="3">
        <f>IFERROR(__xludf.DUMMYFUNCTION("""COMPUTED_VALUE"""),378999.0846)</f>
        <v>378999.0846</v>
      </c>
    </row>
    <row r="44">
      <c r="A44" s="2">
        <f>IFERROR(__xludf.DUMMYFUNCTION("""COMPUTED_VALUE"""),45908.99861111111)</f>
        <v>45908.99861</v>
      </c>
      <c r="B44" s="3">
        <f>IFERROR(__xludf.DUMMYFUNCTION("""COMPUTED_VALUE"""),379244.6568)</f>
        <v>379244.6568</v>
      </c>
    </row>
    <row r="45">
      <c r="A45" s="2">
        <f>IFERROR(__xludf.DUMMYFUNCTION("""COMPUTED_VALUE"""),45909.99861111111)</f>
        <v>45909.99861</v>
      </c>
      <c r="B45" s="3">
        <f>IFERROR(__xludf.DUMMYFUNCTION("""COMPUTED_VALUE"""),379807.2248)</f>
        <v>379807.2248</v>
      </c>
    </row>
    <row r="46">
      <c r="A46" s="2">
        <f>IFERROR(__xludf.DUMMYFUNCTION("""COMPUTED_VALUE"""),45910.99861111111)</f>
        <v>45910.99861</v>
      </c>
      <c r="B46" s="3">
        <f>IFERROR(__xludf.DUMMYFUNCTION("""COMPUTED_VALUE"""),380076.3352)</f>
        <v>380076.3352</v>
      </c>
    </row>
    <row r="47">
      <c r="A47" s="2">
        <f>IFERROR(__xludf.DUMMYFUNCTION("""COMPUTED_VALUE"""),45911.99861111111)</f>
        <v>45911.99861</v>
      </c>
      <c r="B47" s="3">
        <f>IFERROR(__xludf.DUMMYFUNCTION("""COMPUTED_VALUE"""),388583.4129)</f>
        <v>388583.4129</v>
      </c>
    </row>
    <row r="48">
      <c r="A48" s="2">
        <f>IFERROR(__xludf.DUMMYFUNCTION("""COMPUTED_VALUE"""),45912.99861111111)</f>
        <v>45912.99861</v>
      </c>
      <c r="B48" s="3">
        <f>IFERROR(__xludf.DUMMYFUNCTION("""COMPUTED_VALUE"""),397732.5728)</f>
        <v>397732.5728</v>
      </c>
    </row>
    <row r="49">
      <c r="A49" s="2">
        <f>IFERROR(__xludf.DUMMYFUNCTION("""COMPUTED_VALUE"""),45913.99861111111)</f>
        <v>45913.99861</v>
      </c>
      <c r="B49" s="3">
        <f>IFERROR(__xludf.DUMMYFUNCTION("""COMPUTED_VALUE"""),419789.1427)</f>
        <v>419789.1427</v>
      </c>
    </row>
    <row r="50">
      <c r="A50" s="2">
        <f>IFERROR(__xludf.DUMMYFUNCTION("""COMPUTED_VALUE"""),45914.99861111111)</f>
        <v>45914.99861</v>
      </c>
      <c r="B50" s="3">
        <f>IFERROR(__xludf.DUMMYFUNCTION("""COMPUTED_VALUE"""),411609.6502)</f>
        <v>411609.6502</v>
      </c>
    </row>
    <row r="51">
      <c r="A51" s="2">
        <f>IFERROR(__xludf.DUMMYFUNCTION("""COMPUTED_VALUE"""),45915.99861111111)</f>
        <v>45915.99861</v>
      </c>
      <c r="B51" s="3">
        <f>IFERROR(__xludf.DUMMYFUNCTION("""COMPUTED_VALUE"""),408813.6652)</f>
        <v>408813.6652</v>
      </c>
    </row>
    <row r="52">
      <c r="A52" s="2">
        <f>IFERROR(__xludf.DUMMYFUNCTION("""COMPUTED_VALUE"""),45916.99861111111)</f>
        <v>45916.99861</v>
      </c>
      <c r="B52" s="3">
        <f>IFERROR(__xludf.DUMMYFUNCTION("""COMPUTED_VALUE"""),397399.9698)</f>
        <v>397399.9698</v>
      </c>
    </row>
    <row r="53">
      <c r="A53" s="2">
        <f>IFERROR(__xludf.DUMMYFUNCTION("""COMPUTED_VALUE"""),45917.99861111111)</f>
        <v>45917.99861</v>
      </c>
      <c r="B53" s="3">
        <f>IFERROR(__xludf.DUMMYFUNCTION("""COMPUTED_VALUE"""),395597.7808)</f>
        <v>395597.7808</v>
      </c>
    </row>
    <row r="54">
      <c r="A54" s="2">
        <f>IFERROR(__xludf.DUMMYFUNCTION("""COMPUTED_VALUE"""),45918.99861111111)</f>
        <v>45918.99861</v>
      </c>
      <c r="B54" s="3">
        <f>IFERROR(__xludf.DUMMYFUNCTION("""COMPUTED_VALUE"""),407206.6564)</f>
        <v>407206.6564</v>
      </c>
    </row>
    <row r="55">
      <c r="A55" s="2">
        <f>IFERROR(__xludf.DUMMYFUNCTION("""COMPUTED_VALUE"""),45919.99861111111)</f>
        <v>45919.99861</v>
      </c>
      <c r="B55" s="3">
        <f>IFERROR(__xludf.DUMMYFUNCTION("""COMPUTED_VALUE"""),400603.2297)</f>
        <v>400603.2297</v>
      </c>
    </row>
    <row r="56">
      <c r="A56" s="2">
        <f>IFERROR(__xludf.DUMMYFUNCTION("""COMPUTED_VALUE"""),45920.99861111111)</f>
        <v>45920.99861</v>
      </c>
      <c r="B56" s="3">
        <f>IFERROR(__xludf.DUMMYFUNCTION("""COMPUTED_VALUE"""),393541.2121)</f>
        <v>393541.2121</v>
      </c>
    </row>
    <row r="57">
      <c r="A57" s="2">
        <f>IFERROR(__xludf.DUMMYFUNCTION("""COMPUTED_VALUE"""),45921.99861111111)</f>
        <v>45921.99861</v>
      </c>
      <c r="B57" s="3">
        <f>IFERROR(__xludf.DUMMYFUNCTION("""COMPUTED_VALUE"""),394546.7167)</f>
        <v>394546.7167</v>
      </c>
    </row>
    <row r="58">
      <c r="A58" s="2">
        <f>IFERROR(__xludf.DUMMYFUNCTION("""COMPUTED_VALUE"""),45922.99861111111)</f>
        <v>45922.99861</v>
      </c>
      <c r="B58" s="3">
        <f>IFERROR(__xludf.DUMMYFUNCTION("""COMPUTED_VALUE"""),380279.4005)</f>
        <v>380279.4005</v>
      </c>
    </row>
    <row r="59">
      <c r="A59" s="2">
        <f>IFERROR(__xludf.DUMMYFUNCTION("""COMPUTED_VALUE"""),45923.99861111111)</f>
        <v>45923.99861</v>
      </c>
      <c r="B59" s="3">
        <f>IFERROR(__xludf.DUMMYFUNCTION("""COMPUTED_VALUE"""),372051.9241)</f>
        <v>372051.9241</v>
      </c>
    </row>
    <row r="60">
      <c r="A60" s="2">
        <f>IFERROR(__xludf.DUMMYFUNCTION("""COMPUTED_VALUE"""),45924.99861111111)</f>
        <v>45924.99861</v>
      </c>
      <c r="B60" s="3">
        <f>IFERROR(__xludf.DUMMYFUNCTION("""COMPUTED_VALUE"""),368486.4386)</f>
        <v>368486.4386</v>
      </c>
    </row>
    <row r="61">
      <c r="A61" s="2">
        <f>IFERROR(__xludf.DUMMYFUNCTION("""COMPUTED_VALUE"""),45925.99861111111)</f>
        <v>45925.99861</v>
      </c>
      <c r="B61" s="3">
        <f>IFERROR(__xludf.DUMMYFUNCTION("""COMPUTED_VALUE"""),360393.7227)</f>
        <v>360393.7227</v>
      </c>
    </row>
    <row r="62">
      <c r="A62" s="2">
        <f>IFERROR(__xludf.DUMMYFUNCTION("""COMPUTED_VALUE"""),45926.99861111111)</f>
        <v>45926.99861</v>
      </c>
      <c r="B62" s="3">
        <f>IFERROR(__xludf.DUMMYFUNCTION("""COMPUTED_VALUE"""),351689.7187)</f>
        <v>351689.7187</v>
      </c>
    </row>
    <row r="63">
      <c r="A63" s="2">
        <f>IFERROR(__xludf.DUMMYFUNCTION("""COMPUTED_VALUE"""),45927.99861111111)</f>
        <v>45927.99861</v>
      </c>
      <c r="B63" s="3">
        <f>IFERROR(__xludf.DUMMYFUNCTION("""COMPUTED_VALUE"""),356571.9395)</f>
        <v>356571.9395</v>
      </c>
    </row>
    <row r="64">
      <c r="A64" s="2">
        <f>IFERROR(__xludf.DUMMYFUNCTION("""COMPUTED_VALUE"""),45928.99861111111)</f>
        <v>45928.99861</v>
      </c>
      <c r="B64" s="3">
        <f>IFERROR(__xludf.DUMMYFUNCTION("""COMPUTED_VALUE"""),355305.5307)</f>
        <v>355305.5307</v>
      </c>
    </row>
    <row r="65">
      <c r="A65" s="2">
        <f>IFERROR(__xludf.DUMMYFUNCTION("""COMPUTED_VALUE"""),45929.99861111111)</f>
        <v>45929.99861</v>
      </c>
      <c r="B65" s="3">
        <f>IFERROR(__xludf.DUMMYFUNCTION("""COMPUTED_VALUE"""),365565.1556)</f>
        <v>365565.1556</v>
      </c>
    </row>
    <row r="66">
      <c r="A66" s="2">
        <f>IFERROR(__xludf.DUMMYFUNCTION("""COMPUTED_VALUE"""),45930.99861111111)</f>
        <v>45930.99861</v>
      </c>
      <c r="B66" s="3">
        <f>IFERROR(__xludf.DUMMYFUNCTION("""COMPUTED_VALUE"""),373155.5696)</f>
        <v>373155.5696</v>
      </c>
    </row>
    <row r="67">
      <c r="A67" s="2">
        <f>IFERROR(__xludf.DUMMYFUNCTION("""COMPUTED_VALUE"""),45931.99861111111)</f>
        <v>45931.99861</v>
      </c>
      <c r="B67" s="3">
        <f>IFERROR(__xludf.DUMMYFUNCTION("""COMPUTED_VALUE"""),366034.5656)</f>
        <v>366034.5656</v>
      </c>
    </row>
    <row r="68">
      <c r="A68" s="2">
        <f>IFERROR(__xludf.DUMMYFUNCTION("""COMPUTED_VALUE"""),45932.99861111111)</f>
        <v>45932.99861</v>
      </c>
      <c r="B68" s="3">
        <f>IFERROR(__xludf.DUMMYFUNCTION("""COMPUTED_VALUE"""),388236.0738)</f>
        <v>388236.0738</v>
      </c>
    </row>
    <row r="69">
      <c r="A69" s="2">
        <f>IFERROR(__xludf.DUMMYFUNCTION("""COMPUTED_VALUE"""),45933.99861111111)</f>
        <v>45933.99861</v>
      </c>
      <c r="B69" s="3">
        <f>IFERROR(__xludf.DUMMYFUNCTION("""COMPUTED_VALUE"""),399309.5933)</f>
        <v>399309.5933</v>
      </c>
    </row>
    <row r="70">
      <c r="A70" s="2">
        <f>IFERROR(__xludf.DUMMYFUNCTION("""COMPUTED_VALUE"""),45934.99861111111)</f>
        <v>45934.99861</v>
      </c>
      <c r="B70" s="3">
        <f>IFERROR(__xludf.DUMMYFUNCTION("""COMPUTED_VALUE"""),398035.2722)</f>
        <v>398035.2722</v>
      </c>
    </row>
    <row r="71">
      <c r="A71" s="2">
        <f>IFERROR(__xludf.DUMMYFUNCTION("""COMPUTED_VALUE"""),45935.99861111111)</f>
        <v>45935.99861</v>
      </c>
      <c r="B71" s="3">
        <f>IFERROR(__xludf.DUMMYFUNCTION("""COMPUTED_VALUE"""),401811.7657)</f>
        <v>401811.7657</v>
      </c>
    </row>
    <row r="72">
      <c r="A72" s="2">
        <f>IFERROR(__xludf.DUMMYFUNCTION("""COMPUTED_VALUE"""),45936.99861111111)</f>
        <v>45936.99861</v>
      </c>
      <c r="B72" s="3">
        <f>IFERROR(__xludf.DUMMYFUNCTION("""COMPUTED_VALUE"""),402299.0224)</f>
        <v>402299.0224</v>
      </c>
    </row>
    <row r="73">
      <c r="A73" s="2">
        <f>IFERROR(__xludf.DUMMYFUNCTION("""COMPUTED_VALUE"""),45937.99861111111)</f>
        <v>45937.99861</v>
      </c>
      <c r="B73" s="3">
        <f>IFERROR(__xludf.DUMMYFUNCTION("""COMPUTED_VALUE"""),416011.5284)</f>
        <v>416011.5284</v>
      </c>
    </row>
    <row r="74">
      <c r="A74" s="2">
        <f>IFERROR(__xludf.DUMMYFUNCTION("""COMPUTED_VALUE"""),45938.99861111111)</f>
        <v>45938.99861</v>
      </c>
      <c r="B74" s="3">
        <f>IFERROR(__xludf.DUMMYFUNCTION("""COMPUTED_VALUE"""),394435.0647)</f>
        <v>394435.0647</v>
      </c>
    </row>
    <row r="75">
      <c r="A75" s="2">
        <f>IFERROR(__xludf.DUMMYFUNCTION("""COMPUTED_VALUE"""),45939.99861111111)</f>
        <v>45939.99861</v>
      </c>
      <c r="B75" s="3">
        <f>IFERROR(__xludf.DUMMYFUNCTION("""COMPUTED_VALUE"""),395376.5184)</f>
        <v>395376.5184</v>
      </c>
    </row>
    <row r="76">
      <c r="A76" s="2">
        <f>IFERROR(__xludf.DUMMYFUNCTION("""COMPUTED_VALUE"""),45940.99861111111)</f>
        <v>45940.99861</v>
      </c>
      <c r="B76" s="3">
        <f>IFERROR(__xludf.DUMMYFUNCTION("""COMPUTED_VALUE"""),386243.4181)</f>
        <v>386243.4181</v>
      </c>
    </row>
    <row r="77">
      <c r="A77" s="2">
        <f>IFERROR(__xludf.DUMMYFUNCTION("""COMPUTED_VALUE"""),45941.99861111111)</f>
        <v>45941.99861</v>
      </c>
      <c r="B77" s="3">
        <f>IFERROR(__xludf.DUMMYFUNCTION("""COMPUTED_VALUE"""),337064.9006)</f>
        <v>337064.9006</v>
      </c>
    </row>
    <row r="78">
      <c r="A78" s="2">
        <f>IFERROR(__xludf.DUMMYFUNCTION("""COMPUTED_VALUE"""),45942.99861111111)</f>
        <v>45942.99861</v>
      </c>
      <c r="B78" s="3">
        <f>IFERROR(__xludf.DUMMYFUNCTION("""COMPUTED_VALUE"""),336499.3856)</f>
        <v>336499.3856</v>
      </c>
    </row>
    <row r="79">
      <c r="A79" s="2">
        <f>IFERROR(__xludf.DUMMYFUNCTION("""COMPUTED_VALUE"""),45943.99861111111)</f>
        <v>45943.99861</v>
      </c>
      <c r="B79" s="3">
        <f>IFERROR(__xludf.DUMMYFUNCTION("""COMPUTED_VALUE"""),367131.2943)</f>
        <v>367131.2943</v>
      </c>
    </row>
    <row r="80">
      <c r="A80" s="2">
        <f>IFERROR(__xludf.DUMMYFUNCTION("""COMPUTED_VALUE"""),45944.99861111111)</f>
        <v>45944.99861</v>
      </c>
      <c r="B80" s="3">
        <f>IFERROR(__xludf.DUMMYFUNCTION("""COMPUTED_VALUE"""),369099.0187)</f>
        <v>369099.0187</v>
      </c>
    </row>
    <row r="81">
      <c r="A81" s="2">
        <f>IFERROR(__xludf.DUMMYFUNCTION("""COMPUTED_VALUE"""),45945.99861111111)</f>
        <v>45945.99861</v>
      </c>
      <c r="B81" s="3">
        <f>IFERROR(__xludf.DUMMYFUNCTION("""COMPUTED_VALUE"""),358607.8246)</f>
        <v>358607.8246</v>
      </c>
    </row>
    <row r="82">
      <c r="A82" s="2">
        <f>IFERROR(__xludf.DUMMYFUNCTION("""COMPUTED_VALUE"""),45946.99861111111)</f>
        <v>45946.99861</v>
      </c>
      <c r="B82" s="3">
        <f>IFERROR(__xludf.DUMMYFUNCTION("""COMPUTED_VALUE"""),353349.0016)</f>
        <v>353349.0016</v>
      </c>
    </row>
    <row r="83">
      <c r="A83" s="2">
        <f>IFERROR(__xludf.DUMMYFUNCTION("""COMPUTED_VALUE"""),45947.99861111111)</f>
        <v>45947.99861</v>
      </c>
      <c r="B83" s="3">
        <f>IFERROR(__xludf.DUMMYFUNCTION("""COMPUTED_VALUE"""),345965.7107)</f>
        <v>345965.7107</v>
      </c>
    </row>
    <row r="84">
      <c r="A84" s="2">
        <f>IFERROR(__xludf.DUMMYFUNCTION("""COMPUTED_VALUE"""),45948.99861111111)</f>
        <v>45948.99861</v>
      </c>
      <c r="B84" s="3">
        <f>IFERROR(__xludf.DUMMYFUNCTION("""COMPUTED_VALUE"""),340769.25)</f>
        <v>340769.25</v>
      </c>
    </row>
    <row r="85">
      <c r="A85" s="2">
        <f>IFERROR(__xludf.DUMMYFUNCTION("""COMPUTED_VALUE"""),45949.99861111111)</f>
        <v>45949.99861</v>
      </c>
      <c r="B85" s="3">
        <f>IFERROR(__xludf.DUMMYFUNCTION("""COMPUTED_VALUE"""),343744.4703)</f>
        <v>343744.4703</v>
      </c>
    </row>
    <row r="86">
      <c r="A86" s="2">
        <f>IFERROR(__xludf.DUMMYFUNCTION("""COMPUTED_VALUE"""),45950.99861111111)</f>
        <v>45950.99861</v>
      </c>
      <c r="B86" s="3">
        <f>IFERROR(__xludf.DUMMYFUNCTION("""COMPUTED_VALUE"""),354098.8255)</f>
        <v>354098.8255</v>
      </c>
    </row>
    <row r="87">
      <c r="A87" s="2">
        <f>IFERROR(__xludf.DUMMYFUNCTION("""COMPUTED_VALUE"""),45951.99861111111)</f>
        <v>45951.99861</v>
      </c>
      <c r="B87" s="3">
        <f>IFERROR(__xludf.DUMMYFUNCTION("""COMPUTED_VALUE"""),345206.8)</f>
        <v>345206.8</v>
      </c>
    </row>
    <row r="88">
      <c r="A88" s="2">
        <f>IFERROR(__xludf.DUMMYFUNCTION("""COMPUTED_VALUE"""),45952.99861111111)</f>
        <v>45952.99861</v>
      </c>
      <c r="B88" s="3">
        <f>IFERROR(__xludf.DUMMYFUNCTION("""COMPUTED_VALUE"""),338416.453)</f>
        <v>338416.453</v>
      </c>
    </row>
    <row r="89">
      <c r="A89" s="2">
        <f>IFERROR(__xludf.DUMMYFUNCTION("""COMPUTED_VALUE"""),45953.99861111111)</f>
        <v>45953.99861</v>
      </c>
      <c r="B89" s="3">
        <f>IFERROR(__xludf.DUMMYFUNCTION("""COMPUTED_VALUE"""),335914.9934)</f>
        <v>335914.9934</v>
      </c>
    </row>
    <row r="90">
      <c r="A90" s="2">
        <f>IFERROR(__xludf.DUMMYFUNCTION("""COMPUTED_VALUE"""),45954.99861111111)</f>
        <v>45954.99861</v>
      </c>
      <c r="B90" s="3">
        <f>IFERROR(__xludf.DUMMYFUNCTION("""COMPUTED_VALUE"""),341539.0774)</f>
        <v>341539.0774</v>
      </c>
    </row>
    <row r="91">
      <c r="A91" s="2">
        <f>IFERROR(__xludf.DUMMYFUNCTION("""COMPUTED_VALUE"""),45955.99861111111)</f>
        <v>45955.99861</v>
      </c>
      <c r="B91" s="3">
        <f>IFERROR(__xludf.DUMMYFUNCTION("""COMPUTED_VALUE"""),344339.8426)</f>
        <v>344339.8426</v>
      </c>
    </row>
    <row r="92">
      <c r="A92" s="2">
        <f>IFERROR(__xludf.DUMMYFUNCTION("""COMPUTED_VALUE"""),45956.99861111111)</f>
        <v>45956.99861</v>
      </c>
      <c r="B92" s="3">
        <f>IFERROR(__xludf.DUMMYFUNCTION("""COMPUTED_VALUE"""),345101.3473)</f>
        <v>345101.3473</v>
      </c>
    </row>
    <row r="93">
      <c r="A93" s="2">
        <f>IFERROR(__xludf.DUMMYFUNCTION("""COMPUTED_VALUE"""),45957.99861111111)</f>
        <v>45957.99861</v>
      </c>
      <c r="B93" s="3">
        <f>IFERROR(__xludf.DUMMYFUNCTION("""COMPUTED_VALUE"""),370815.0484)</f>
        <v>370815.0484</v>
      </c>
    </row>
    <row r="94">
      <c r="A94" s="2">
        <f>IFERROR(__xludf.DUMMYFUNCTION("""COMPUTED_VALUE"""),45958.99861111111)</f>
        <v>45958.99861</v>
      </c>
      <c r="B94" s="3">
        <f>IFERROR(__xludf.DUMMYFUNCTION("""COMPUTED_VALUE"""),361037.3198)</f>
        <v>361037.3198</v>
      </c>
    </row>
    <row r="95">
      <c r="A95" s="2">
        <f>IFERROR(__xludf.DUMMYFUNCTION("""COMPUTED_VALUE"""),45959.99861111111)</f>
        <v>45959.99861</v>
      </c>
      <c r="B95" s="3">
        <f>IFERROR(__xludf.DUMMYFUNCTION("""COMPUTED_VALUE"""),353297.2727)</f>
        <v>353297.2727</v>
      </c>
    </row>
    <row r="96">
      <c r="A96" s="2">
        <f>IFERROR(__xludf.DUMMYFUNCTION("""COMPUTED_VALUE"""),45960.99861111111)</f>
        <v>45960.99861</v>
      </c>
      <c r="B96" s="3">
        <f>IFERROR(__xludf.DUMMYFUNCTION("""COMPUTED_VALUE"""),348463.126)</f>
        <v>348463.126</v>
      </c>
    </row>
    <row r="97">
      <c r="A97" s="2">
        <f>IFERROR(__xludf.DUMMYFUNCTION("""COMPUTED_VALUE"""),45961.99861111111)</f>
        <v>45961.99861</v>
      </c>
      <c r="B97" s="3">
        <f>IFERROR(__xludf.DUMMYFUNCTION("""COMPUTED_VALUE"""),339781.1557)</f>
        <v>339781.1557</v>
      </c>
    </row>
    <row r="98">
      <c r="A98" s="2">
        <f>IFERROR(__xludf.DUMMYFUNCTION("""COMPUTED_VALUE"""),45962.99861111111)</f>
        <v>45962.99861</v>
      </c>
      <c r="B98" s="3">
        <f>IFERROR(__xludf.DUMMYFUNCTION("""COMPUTED_VALUE"""),342798.9636)</f>
        <v>342798.9636</v>
      </c>
    </row>
    <row r="99">
      <c r="A99" s="2">
        <f>IFERROR(__xludf.DUMMYFUNCTION("""COMPUTED_VALUE"""),45963.99861111111)</f>
        <v>45963.99861</v>
      </c>
      <c r="B99" s="3">
        <f>IFERROR(__xludf.DUMMYFUNCTION("""COMPUTED_VALUE"""),344465.8137)</f>
        <v>344465.8137</v>
      </c>
    </row>
    <row r="100">
      <c r="A100" s="2">
        <f>IFERROR(__xludf.DUMMYFUNCTION("""COMPUTED_VALUE"""),45964.99861111111)</f>
        <v>45964.99861</v>
      </c>
      <c r="B100" s="3">
        <f>IFERROR(__xludf.DUMMYFUNCTION("""COMPUTED_VALUE"""),332006.5096)</f>
        <v>332006.5096</v>
      </c>
    </row>
    <row r="101">
      <c r="A101" s="2">
        <f>IFERROR(__xludf.DUMMYFUNCTION("""COMPUTED_VALUE"""),45965.99861111111)</f>
        <v>45965.99861</v>
      </c>
      <c r="B101" s="3">
        <f>IFERROR(__xludf.DUMMYFUNCTION("""COMPUTED_VALUE"""),321570.332)</f>
        <v>321570.332</v>
      </c>
    </row>
    <row r="102">
      <c r="A102" s="2">
        <f>IFERROR(__xludf.DUMMYFUNCTION("""COMPUTED_VALUE"""),45966.99861111111)</f>
        <v>45966.99861</v>
      </c>
      <c r="B102" s="3">
        <f>IFERROR(__xludf.DUMMYFUNCTION("""COMPUTED_VALUE"""),294563.8313)</f>
        <v>294563.8313</v>
      </c>
    </row>
    <row r="103">
      <c r="A103" s="2">
        <f>IFERROR(__xludf.DUMMYFUNCTION("""COMPUTED_VALUE"""),45967.99861111111)</f>
        <v>45967.99861</v>
      </c>
      <c r="B103" s="3">
        <f>IFERROR(__xludf.DUMMYFUNCTION("""COMPUTED_VALUE"""),305924.7809)</f>
        <v>305924.7809</v>
      </c>
    </row>
    <row r="104">
      <c r="A104" s="2">
        <f>IFERROR(__xludf.DUMMYFUNCTION("""COMPUTED_VALUE"""),45968.99861111111)</f>
        <v>45968.99861</v>
      </c>
      <c r="B104" s="3">
        <f>IFERROR(__xludf.DUMMYFUNCTION("""COMPUTED_VALUE"""),295612.357)</f>
        <v>295612.357</v>
      </c>
    </row>
    <row r="105">
      <c r="A105" s="2">
        <f>IFERROR(__xludf.DUMMYFUNCTION("""COMPUTED_VALUE"""),45969.99861111111)</f>
        <v>45969.99861</v>
      </c>
      <c r="B105" s="3">
        <f>IFERROR(__xludf.DUMMYFUNCTION("""COMPUTED_VALUE"""),306548.3784)</f>
        <v>306548.3784</v>
      </c>
    </row>
    <row r="106">
      <c r="A106" s="2">
        <f>IFERROR(__xludf.DUMMYFUNCTION("""COMPUTED_VALUE"""),45970.99861111111)</f>
        <v>45970.99861</v>
      </c>
      <c r="B106" s="3">
        <f>IFERROR(__xludf.DUMMYFUNCTION("""COMPUTED_VALUE"""),299117.5765)</f>
        <v>299117.5765</v>
      </c>
    </row>
    <row r="107">
      <c r="A107" s="2">
        <f>IFERROR(__xludf.DUMMYFUNCTION("""COMPUTED_VALUE"""),45971.99861111111)</f>
        <v>45971.99861</v>
      </c>
      <c r="B107" s="3">
        <f>IFERROR(__xludf.DUMMYFUNCTION("""COMPUTED_VALUE"""),320762.7687)</f>
        <v>320762.7687</v>
      </c>
    </row>
    <row r="108">
      <c r="A108" s="2">
        <f>IFERROR(__xludf.DUMMYFUNCTION("""COMPUTED_VALUE"""),45972.99861111111)</f>
        <v>45972.99861</v>
      </c>
      <c r="B108" s="3">
        <f>IFERROR(__xludf.DUMMYFUNCTION("""COMPUTED_VALUE"""),315896.5587)</f>
        <v>315896.5587</v>
      </c>
    </row>
    <row r="109">
      <c r="A109" s="2">
        <f>IFERROR(__xludf.DUMMYFUNCTION("""COMPUTED_VALUE"""),45973.99861111111)</f>
        <v>45973.99861</v>
      </c>
      <c r="B109" s="3">
        <f>IFERROR(__xludf.DUMMYFUNCTION("""COMPUTED_VALUE"""),304884.2178)</f>
        <v>304884.2178</v>
      </c>
    </row>
    <row r="110">
      <c r="A110" s="2">
        <f>IFERROR(__xludf.DUMMYFUNCTION("""COMPUTED_VALUE"""),45974.99861111111)</f>
        <v>45974.99861</v>
      </c>
      <c r="B110" s="3">
        <f>IFERROR(__xludf.DUMMYFUNCTION("""COMPUTED_VALUE"""),309299.4115)</f>
        <v>309299.4115</v>
      </c>
    </row>
    <row r="111">
      <c r="A111" s="2">
        <f>IFERROR(__xludf.DUMMYFUNCTION("""COMPUTED_VALUE"""),45975.99861111111)</f>
        <v>45975.99861</v>
      </c>
      <c r="B111" s="3">
        <f>IFERROR(__xludf.DUMMYFUNCTION("""COMPUTED_VALUE"""),280101.7833)</f>
        <v>280101.7833</v>
      </c>
    </row>
    <row r="112">
      <c r="A112" s="2">
        <f>IFERROR(__xludf.DUMMYFUNCTION("""COMPUTED_VALUE"""),45976.99861111111)</f>
        <v>45976.99861</v>
      </c>
      <c r="B112" s="3">
        <f>IFERROR(__xludf.DUMMYFUNCTION("""COMPUTED_VALUE"""),281177.6379)</f>
        <v>281177.6379</v>
      </c>
    </row>
    <row r="113">
      <c r="A113" s="2">
        <f>IFERROR(__xludf.DUMMYFUNCTION("""COMPUTED_VALUE"""),45977.99861111111)</f>
        <v>45977.99861</v>
      </c>
      <c r="B113" s="3">
        <f>IFERROR(__xludf.DUMMYFUNCTION("""COMPUTED_VALUE"""),282972.7241)</f>
        <v>282972.7241</v>
      </c>
    </row>
    <row r="114">
      <c r="A114" s="2">
        <f>IFERROR(__xludf.DUMMYFUNCTION("""COMPUTED_VALUE"""),45978.99861111111)</f>
        <v>45978.99861</v>
      </c>
      <c r="B114" s="3">
        <f>IFERROR(__xludf.DUMMYFUNCTION("""COMPUTED_VALUE"""),282223.3298)</f>
        <v>282223.3298</v>
      </c>
    </row>
    <row r="115">
      <c r="A115" s="2">
        <f>IFERROR(__xludf.DUMMYFUNCTION("""COMPUTED_VALUE"""),45979.99861111111)</f>
        <v>45979.99861</v>
      </c>
      <c r="B115" s="3">
        <f>IFERROR(__xludf.DUMMYFUNCTION("""COMPUTED_VALUE"""),266013.1219)</f>
        <v>266013.1219</v>
      </c>
    </row>
    <row r="116">
      <c r="A116" s="2">
        <f>IFERROR(__xludf.DUMMYFUNCTION("""COMPUTED_VALUE"""),45980.99861111111)</f>
        <v>45980.99861</v>
      </c>
      <c r="B116" s="3">
        <f>IFERROR(__xludf.DUMMYFUNCTION("""COMPUTED_VALUE"""),270074.657)</f>
        <v>270074.657</v>
      </c>
    </row>
    <row r="117">
      <c r="A117" s="2">
        <f>IFERROR(__xludf.DUMMYFUNCTION("""COMPUTED_VALUE"""),45981.99861111111)</f>
        <v>45981.99861</v>
      </c>
      <c r="B117" s="3">
        <f>IFERROR(__xludf.DUMMYFUNCTION("""COMPUTED_VALUE"""),270263.9937)</f>
        <v>270263.9937</v>
      </c>
    </row>
    <row r="118">
      <c r="A118" s="2">
        <f>IFERROR(__xludf.DUMMYFUNCTION("""COMPUTED_VALUE"""),45982.99861111111)</f>
        <v>45982.99861</v>
      </c>
      <c r="B118" s="3">
        <f>IFERROR(__xludf.DUMMYFUNCTION("""COMPUTED_VALUE"""),252190.9987)</f>
        <v>252190.9987</v>
      </c>
    </row>
    <row r="119">
      <c r="A119" s="2">
        <f>IFERROR(__xludf.DUMMYFUNCTION("""COMPUTED_VALUE"""),45983.99861111111)</f>
        <v>45983.99861</v>
      </c>
      <c r="B119" s="3">
        <f>IFERROR(__xludf.DUMMYFUNCTION("""COMPUTED_VALUE"""),245990.0685)</f>
        <v>245990.0685</v>
      </c>
    </row>
    <row r="120">
      <c r="A120" s="2">
        <f>IFERROR(__xludf.DUMMYFUNCTION("""COMPUTED_VALUE"""),45984.99861111111)</f>
        <v>45984.99861</v>
      </c>
      <c r="B120" s="3">
        <f>IFERROR(__xludf.DUMMYFUNCTION("""COMPUTED_VALUE"""),253338.8646)</f>
        <v>253338.8646</v>
      </c>
    </row>
    <row r="121">
      <c r="A121" s="2">
        <f>IFERROR(__xludf.DUMMYFUNCTION("""COMPUTED_VALUE"""),45985.99861111111)</f>
        <v>45985.99861</v>
      </c>
      <c r="B121" s="3">
        <f>IFERROR(__xludf.DUMMYFUNCTION("""COMPUTED_VALUE"""),251762.066)</f>
        <v>251762.066</v>
      </c>
    </row>
    <row r="122">
      <c r="A122" s="2">
        <f>IFERROR(__xludf.DUMMYFUNCTION("""COMPUTED_VALUE"""),45986.99861111111)</f>
        <v>45986.99861</v>
      </c>
      <c r="B122" s="3">
        <f>IFERROR(__xludf.DUMMYFUNCTION("""COMPUTED_VALUE"""),261798.7251)</f>
        <v>261798.7251</v>
      </c>
    </row>
    <row r="123">
      <c r="A123" s="2">
        <f>IFERROR(__xludf.DUMMYFUNCTION("""COMPUTED_VALUE"""),45987.99861111111)</f>
        <v>45987.99861</v>
      </c>
      <c r="B123" s="3">
        <f>IFERROR(__xludf.DUMMYFUNCTION("""COMPUTED_VALUE"""),261306.8334)</f>
        <v>261306.8334</v>
      </c>
    </row>
    <row r="124">
      <c r="A124" s="2">
        <f>IFERROR(__xludf.DUMMYFUNCTION("""COMPUTED_VALUE"""),45988.99861111111)</f>
        <v>45988.99861</v>
      </c>
      <c r="B124" s="3">
        <f>IFERROR(__xludf.DUMMYFUNCTION("""COMPUTED_VALUE"""),271667.775)</f>
        <v>271667.775</v>
      </c>
    </row>
    <row r="125">
      <c r="A125" s="2">
        <f>IFERROR(__xludf.DUMMYFUNCTION("""COMPUTED_VALUE"""),45989.99861111111)</f>
        <v>45989.99861</v>
      </c>
      <c r="B125" s="3">
        <f>IFERROR(__xludf.DUMMYFUNCTION("""COMPUTED_VALUE"""),269567.4832)</f>
        <v>269567.4832</v>
      </c>
    </row>
    <row r="126">
      <c r="A126" s="2">
        <f>IFERROR(__xludf.DUMMYFUNCTION("""COMPUTED_VALUE"""),45990.99861111111)</f>
        <v>45990.99861</v>
      </c>
      <c r="B126" s="3">
        <f>IFERROR(__xludf.DUMMYFUNCTION("""COMPUTED_VALUE"""),271568.831)</f>
        <v>271568.831</v>
      </c>
    </row>
    <row r="127">
      <c r="A127" s="2">
        <f>IFERROR(__xludf.DUMMYFUNCTION("""COMPUTED_VALUE"""),45991.99861111111)</f>
        <v>45991.99861</v>
      </c>
      <c r="B127" s="3">
        <f>IFERROR(__xludf.DUMMYFUNCTION("""COMPUTED_VALUE"""),267983.194)</f>
        <v>267983.194</v>
      </c>
    </row>
    <row r="128">
      <c r="A128" s="2">
        <f>IFERROR(__xludf.DUMMYFUNCTION("""COMPUTED_VALUE"""),45992.99861111111)</f>
        <v>45992.99861</v>
      </c>
      <c r="B128" s="3">
        <f>IFERROR(__xludf.DUMMYFUNCTION("""COMPUTED_VALUE"""),252818.311)</f>
        <v>252818.311</v>
      </c>
    </row>
    <row r="129">
      <c r="A129" s="2">
        <f>IFERROR(__xludf.DUMMYFUNCTION("""COMPUTED_VALUE"""),45993.99861111111)</f>
        <v>45993.99861</v>
      </c>
      <c r="B129" s="3">
        <f>IFERROR(__xludf.DUMMYFUNCTION("""COMPUTED_VALUE"""),252155.4126)</f>
        <v>252155.4126</v>
      </c>
    </row>
    <row r="130">
      <c r="A130" s="2">
        <f>IFERROR(__xludf.DUMMYFUNCTION("""COMPUTED_VALUE"""),45994.99861111111)</f>
        <v>45994.99861</v>
      </c>
      <c r="B130" s="3">
        <f>IFERROR(__xludf.DUMMYFUNCTION("""COMPUTED_VALUE"""),275245.1543)</f>
        <v>275245.1543</v>
      </c>
    </row>
    <row r="131">
      <c r="A131" s="2">
        <f>IFERROR(__xludf.DUMMYFUNCTION("""COMPUTED_VALUE"""),45995.99861111111)</f>
        <v>45995.99861</v>
      </c>
      <c r="B131" s="3">
        <f>IFERROR(__xludf.DUMMYFUNCTION("""COMPUTED_VALUE"""),286649.3318)</f>
        <v>286649.3318</v>
      </c>
    </row>
    <row r="132">
      <c r="A132" s="2">
        <f>IFERROR(__xludf.DUMMYFUNCTION("""COMPUTED_VALUE"""),45996.99861111111)</f>
        <v>45996.99861</v>
      </c>
      <c r="B132" s="3">
        <f>IFERROR(__xludf.DUMMYFUNCTION("""COMPUTED_VALUE"""),284669.7211)</f>
        <v>284669.7211</v>
      </c>
    </row>
    <row r="133">
      <c r="A133" s="2">
        <f>IFERROR(__xludf.DUMMYFUNCTION("""COMPUTED_VALUE"""),45997.99861111111)</f>
        <v>45997.99861</v>
      </c>
      <c r="B133" s="3">
        <f>IFERROR(__xludf.DUMMYFUNCTION("""COMPUTED_VALUE"""),273013.137)</f>
        <v>273013.137</v>
      </c>
    </row>
    <row r="134">
      <c r="A134" s="2">
        <f>IFERROR(__xludf.DUMMYFUNCTION("""COMPUTED_VALUE"""),45998.99861111111)</f>
        <v>45998.99861</v>
      </c>
      <c r="B134" s="3">
        <f>IFERROR(__xludf.DUMMYFUNCTION("""COMPUTED_VALUE"""),274058.1371)</f>
        <v>274058.1371</v>
      </c>
    </row>
    <row r="135">
      <c r="A135" s="2">
        <f>IFERROR(__xludf.DUMMYFUNCTION("""COMPUTED_VALUE"""),45999.99861111111)</f>
        <v>45999.99861</v>
      </c>
      <c r="B135" s="3">
        <f>IFERROR(__xludf.DUMMYFUNCTION("""COMPUTED_VALUE"""),281904.5716)</f>
        <v>281904.5716</v>
      </c>
    </row>
    <row r="136">
      <c r="A136" s="2">
        <f>IFERROR(__xludf.DUMMYFUNCTION("""COMPUTED_VALUE"""),46000.99861111111)</f>
        <v>46000.99861</v>
      </c>
      <c r="B136" s="3">
        <f>IFERROR(__xludf.DUMMYFUNCTION("""COMPUTED_VALUE"""),279302.3443)</f>
        <v>279302.3443</v>
      </c>
    </row>
    <row r="137">
      <c r="A137" s="2">
        <f>IFERROR(__xludf.DUMMYFUNCTION("""COMPUTED_VALUE"""),46001.99861111111)</f>
        <v>46001.99861</v>
      </c>
      <c r="B137" s="3">
        <f>IFERROR(__xludf.DUMMYFUNCTION("""COMPUTED_VALUE"""),298299.1036)</f>
        <v>298299.1036</v>
      </c>
    </row>
    <row r="138">
      <c r="A138" s="2">
        <f>IFERROR(__xludf.DUMMYFUNCTION("""COMPUTED_VALUE"""),46002.99861111111)</f>
        <v>46002.99861</v>
      </c>
      <c r="B138" s="3">
        <f>IFERROR(__xludf.DUMMYFUNCTION("""COMPUTED_VALUE"""),290123.0152)</f>
        <v>290123.0152</v>
      </c>
    </row>
    <row r="139">
      <c r="A139" s="2">
        <f>IFERROR(__xludf.DUMMYFUNCTION("""COMPUTED_VALUE"""),46003.99861111111)</f>
        <v>46003.99861</v>
      </c>
      <c r="B139" s="3">
        <f>IFERROR(__xludf.DUMMYFUNCTION("""COMPUTED_VALUE"""),293989.5244)</f>
        <v>293989.5244</v>
      </c>
    </row>
    <row r="140">
      <c r="A140" s="2">
        <f>IFERROR(__xludf.DUMMYFUNCTION("""COMPUTED_VALUE"""),46004.99861111111)</f>
        <v>46004.99861</v>
      </c>
      <c r="B140" s="3">
        <f>IFERROR(__xludf.DUMMYFUNCTION("""COMPUTED_VALUE"""),279950.0447)</f>
        <v>279950.0447</v>
      </c>
    </row>
    <row r="141">
      <c r="A141" s="2">
        <f>IFERROR(__xludf.DUMMYFUNCTION("""COMPUTED_VALUE"""),46005.99861111111)</f>
        <v>46005.99861</v>
      </c>
      <c r="B141" s="3">
        <f>IFERROR(__xludf.DUMMYFUNCTION("""COMPUTED_VALUE"""),281638.544)</f>
        <v>281638.544</v>
      </c>
    </row>
    <row r="142">
      <c r="A142" s="2">
        <f>IFERROR(__xludf.DUMMYFUNCTION("""COMPUTED_VALUE"""),46006.99861111111)</f>
        <v>46006.99861</v>
      </c>
      <c r="B142" s="3">
        <f>IFERROR(__xludf.DUMMYFUNCTION("""COMPUTED_VALUE"""),283495.4039)</f>
        <v>283495.4039</v>
      </c>
    </row>
    <row r="143">
      <c r="A143" s="2">
        <f>IFERROR(__xludf.DUMMYFUNCTION("""COMPUTED_VALUE"""),46007.99861111111)</f>
        <v>46007.99861</v>
      </c>
      <c r="B143" s="3">
        <f>IFERROR(__xludf.DUMMYFUNCTION("""COMPUTED_VALUE"""),265246.208)</f>
        <v>265246.208</v>
      </c>
    </row>
    <row r="144">
      <c r="A144" s="2">
        <f>IFERROR(__xludf.DUMMYFUNCTION("""COMPUTED_VALUE"""),46008.99861111111)</f>
        <v>46008.99861</v>
      </c>
      <c r="B144" s="3">
        <f>IFERROR(__xludf.DUMMYFUNCTION("""COMPUTED_VALUE"""),265132.9117)</f>
        <v>265132.9117</v>
      </c>
    </row>
    <row r="145">
      <c r="A145" s="2">
        <f>IFERROR(__xludf.DUMMYFUNCTION("""COMPUTED_VALUE"""),46009.99861111111)</f>
        <v>46009.99861</v>
      </c>
      <c r="B145" s="3">
        <f>IFERROR(__xludf.DUMMYFUNCTION("""COMPUTED_VALUE"""),255985.2561)</f>
        <v>255985.2561</v>
      </c>
    </row>
    <row r="146">
      <c r="A146" s="2">
        <f>IFERROR(__xludf.DUMMYFUNCTION("""COMPUTED_VALUE"""),46010.99861111111)</f>
        <v>46010.99861</v>
      </c>
      <c r="B146" s="3">
        <f>IFERROR(__xludf.DUMMYFUNCTION("""COMPUTED_VALUE"""),261528.6757)</f>
        <v>261528.6757</v>
      </c>
    </row>
    <row r="147">
      <c r="A147" s="2">
        <f>IFERROR(__xludf.DUMMYFUNCTION("""COMPUTED_VALUE"""),46011.99861111111)</f>
        <v>46011.99861</v>
      </c>
      <c r="B147" s="3">
        <f>IFERROR(__xludf.DUMMYFUNCTION("""COMPUTED_VALUE"""),267118.3913)</f>
        <v>267118.3913</v>
      </c>
    </row>
    <row r="148">
      <c r="A148" s="2">
        <f>IFERROR(__xludf.DUMMYFUNCTION("""COMPUTED_VALUE"""),46012.99861111111)</f>
        <v>46012.99861</v>
      </c>
      <c r="B148" s="3">
        <f>IFERROR(__xludf.DUMMYFUNCTION("""COMPUTED_VALUE"""),266418.5473)</f>
        <v>266418.5473</v>
      </c>
    </row>
    <row r="149">
      <c r="A149" s="2">
        <f>IFERROR(__xludf.DUMMYFUNCTION("""COMPUTED_VALUE"""),46013.99861111111)</f>
        <v>46013.99861</v>
      </c>
      <c r="B149" s="3">
        <f>IFERROR(__xludf.DUMMYFUNCTION("""COMPUTED_VALUE"""),272161.2725)</f>
        <v>272161.2725</v>
      </c>
    </row>
    <row r="150">
      <c r="A150" s="2">
        <f>IFERROR(__xludf.DUMMYFUNCTION("""COMPUTED_VALUE"""),46014.99861111111)</f>
        <v>46014.99861</v>
      </c>
      <c r="B150" s="3">
        <f>IFERROR(__xludf.DUMMYFUNCTION("""COMPUTED_VALUE"""),267089.0381)</f>
        <v>267089.0381</v>
      </c>
    </row>
    <row r="151">
      <c r="A151" s="2">
        <f>IFERROR(__xludf.DUMMYFUNCTION("""COMPUTED_VALUE"""),46015.99861111111)</f>
        <v>46015.99861</v>
      </c>
      <c r="B151" s="3">
        <f>IFERROR(__xludf.DUMMYFUNCTION("""COMPUTED_VALUE"""),263487.7056)</f>
        <v>263487.7056</v>
      </c>
    </row>
    <row r="152">
      <c r="A152" s="2">
        <f>IFERROR(__xludf.DUMMYFUNCTION("""COMPUTED_VALUE"""),46016.99861111111)</f>
        <v>46016.99861</v>
      </c>
      <c r="B152" s="3">
        <f>IFERROR(__xludf.DUMMYFUNCTION("""COMPUTED_VALUE"""),265137.3904)</f>
        <v>265137.3904</v>
      </c>
    </row>
    <row r="153">
      <c r="A153" s="2">
        <f>IFERROR(__xludf.DUMMYFUNCTION("""COMPUTED_VALUE"""),46017.99861111111)</f>
        <v>46017.99861</v>
      </c>
      <c r="B153" s="3">
        <f>IFERROR(__xludf.DUMMYFUNCTION("""COMPUTED_VALUE"""),266672.4921)</f>
        <v>266672.4921</v>
      </c>
    </row>
    <row r="154">
      <c r="A154" s="2">
        <f>IFERROR(__xludf.DUMMYFUNCTION("""COMPUTED_VALUE"""),46018.99861111111)</f>
        <v>46018.99861</v>
      </c>
      <c r="B154" s="3">
        <f>IFERROR(__xludf.DUMMYFUNCTION("""COMPUTED_VALUE"""),262977.9509)</f>
        <v>262977.9509</v>
      </c>
    </row>
    <row r="155">
      <c r="A155" s="2">
        <f>IFERROR(__xludf.DUMMYFUNCTION("""COMPUTED_VALUE"""),46019.99861111111)</f>
        <v>46019.99861</v>
      </c>
      <c r="B155" s="3">
        <f>IFERROR(__xludf.DUMMYFUNCTION("""COMPUTED_VALUE"""),263818.7682)</f>
        <v>263818.7682</v>
      </c>
    </row>
    <row r="156">
      <c r="A156" s="2">
        <f>IFERROR(__xludf.DUMMYFUNCTION("""COMPUTED_VALUE"""),46020.99861111111)</f>
        <v>46020.99861</v>
      </c>
      <c r="B156" s="3">
        <f>IFERROR(__xludf.DUMMYFUNCTION("""COMPUTED_VALUE"""),272898.1372)</f>
        <v>272898.1372</v>
      </c>
    </row>
    <row r="157">
      <c r="A157" s="2">
        <f>IFERROR(__xludf.DUMMYFUNCTION("""COMPUTED_VALUE"""),46021.99861111111)</f>
        <v>46021.99861</v>
      </c>
      <c r="B157" s="3">
        <f>IFERROR(__xludf.DUMMYFUNCTION("""COMPUTED_VALUE"""),264229.5349)</f>
        <v>264229.5349</v>
      </c>
    </row>
    <row r="158">
      <c r="A158" s="2">
        <f>IFERROR(__xludf.DUMMYFUNCTION("""COMPUTED_VALUE"""),46022.99861111111)</f>
        <v>46022.99861</v>
      </c>
      <c r="B158" s="3">
        <f>IFERROR(__xludf.DUMMYFUNCTION("""COMPUTED_VALUE"""),266844.0202)</f>
        <v>266844.0202</v>
      </c>
    </row>
    <row r="159">
      <c r="A159" s="2">
        <f>IFERROR(__xludf.DUMMYFUNCTION("""COMPUTED_VALUE"""),46023.99861111111)</f>
        <v>46023.99861</v>
      </c>
      <c r="B159" s="3">
        <f>IFERROR(__xludf.DUMMYFUNCTION("""COMPUTED_VALUE"""),267071.6015)</f>
        <v>267071.6015</v>
      </c>
    </row>
    <row r="160">
      <c r="A160" s="2">
        <f>IFERROR(__xludf.DUMMYFUNCTION("""COMPUTED_VALUE"""),46024.99861111111)</f>
        <v>46024.99861</v>
      </c>
      <c r="B160" s="3">
        <f>IFERROR(__xludf.DUMMYFUNCTION("""COMPUTED_VALUE"""),270626.9855)</f>
        <v>270626.9855</v>
      </c>
    </row>
    <row r="161">
      <c r="A161" s="2">
        <f>IFERROR(__xludf.DUMMYFUNCTION("""COMPUTED_VALUE"""),46025.99861111111)</f>
        <v>46025.99861</v>
      </c>
      <c r="B161" s="3">
        <f>IFERROR(__xludf.DUMMYFUNCTION("""COMPUTED_VALUE"""),280331.0924)</f>
        <v>280331.0924</v>
      </c>
    </row>
    <row r="162">
      <c r="A162" s="2">
        <f>IFERROR(__xludf.DUMMYFUNCTION("""COMPUTED_VALUE"""),46026.99861111111)</f>
        <v>46026.99861</v>
      </c>
      <c r="B162" s="3">
        <f>IFERROR(__xludf.DUMMYFUNCTION("""COMPUTED_VALUE"""),283135.4548)</f>
        <v>283135.4548</v>
      </c>
    </row>
    <row r="163">
      <c r="A163" s="2">
        <f>IFERROR(__xludf.DUMMYFUNCTION("""COMPUTED_VALUE"""),46027.99861111111)</f>
        <v>46027.99861</v>
      </c>
      <c r="B163" s="3">
        <f>IFERROR(__xludf.DUMMYFUNCTION("""COMPUTED_VALUE"""),285470.6465)</f>
        <v>285470.6465</v>
      </c>
    </row>
    <row r="164">
      <c r="A164" s="2">
        <f>IFERROR(__xludf.DUMMYFUNCTION("""COMPUTED_VALUE"""),46028.99861111111)</f>
        <v>46028.99861</v>
      </c>
      <c r="B164" s="3">
        <f>IFERROR(__xludf.DUMMYFUNCTION("""COMPUTED_VALUE"""),290532.5219)</f>
        <v>290532.5219</v>
      </c>
    </row>
    <row r="165">
      <c r="A165" s="2">
        <f>IFERROR(__xludf.DUMMYFUNCTION("""COMPUTED_VALUE"""),46029.99861111111)</f>
        <v>46029.99861</v>
      </c>
      <c r="B165" s="3">
        <f>IFERROR(__xludf.DUMMYFUNCTION("""COMPUTED_VALUE"""),292388.1203)</f>
        <v>292388.1203</v>
      </c>
    </row>
    <row r="166">
      <c r="A166" s="2">
        <f>IFERROR(__xludf.DUMMYFUNCTION("""COMPUTED_VALUE"""),46030.99861111111)</f>
        <v>46030.99861</v>
      </c>
      <c r="B166" s="3">
        <f>IFERROR(__xludf.DUMMYFUNCTION("""COMPUTED_VALUE"""),283181.5504)</f>
        <v>283181.5504</v>
      </c>
    </row>
    <row r="167">
      <c r="A167" s="2">
        <f>IFERROR(__xludf.DUMMYFUNCTION("""COMPUTED_VALUE"""),46031.99861111111)</f>
        <v>46031.99861</v>
      </c>
      <c r="B167" s="3">
        <f>IFERROR(__xludf.DUMMYFUNCTION("""COMPUTED_VALUE"""),280967.2883)</f>
        <v>280967.2883</v>
      </c>
    </row>
    <row r="168">
      <c r="A168" s="2">
        <f>IFERROR(__xludf.DUMMYFUNCTION("""COMPUTED_VALUE"""),46032.99861111111)</f>
        <v>46032.99861</v>
      </c>
      <c r="B168" s="3">
        <f>IFERROR(__xludf.DUMMYFUNCTION("""COMPUTED_VALUE"""),277603.5284)</f>
        <v>277603.5284</v>
      </c>
    </row>
    <row r="169">
      <c r="A169" s="2">
        <f>IFERROR(__xludf.DUMMYFUNCTION("""COMPUTED_VALUE"""),46033.99861111111)</f>
        <v>46033.99861</v>
      </c>
      <c r="B169" s="3">
        <f>IFERROR(__xludf.DUMMYFUNCTION("""COMPUTED_VALUE"""),279244.2082)</f>
        <v>279244.2082</v>
      </c>
    </row>
    <row r="170">
      <c r="A170" s="2">
        <f>IFERROR(__xludf.DUMMYFUNCTION("""COMPUTED_VALUE"""),46034.99861111111)</f>
        <v>46034.99861</v>
      </c>
      <c r="B170" s="3">
        <f>IFERROR(__xludf.DUMMYFUNCTION("""COMPUTED_VALUE"""),284323.0475)</f>
        <v>284323.0475</v>
      </c>
    </row>
    <row r="171">
      <c r="A171" s="2">
        <f>IFERROR(__xludf.DUMMYFUNCTION("""COMPUTED_VALUE"""),46035.99861111111)</f>
        <v>46035.99861</v>
      </c>
      <c r="B171" s="3">
        <f>IFERROR(__xludf.DUMMYFUNCTION("""COMPUTED_VALUE"""),281440.7288)</f>
        <v>281440.7288</v>
      </c>
    </row>
    <row r="172">
      <c r="A172" s="2">
        <f>IFERROR(__xludf.DUMMYFUNCTION("""COMPUTED_VALUE"""),46036.99861111111)</f>
        <v>46036.99861</v>
      </c>
      <c r="B172" s="3">
        <f>IFERROR(__xludf.DUMMYFUNCTION("""COMPUTED_VALUE"""),300805.8185)</f>
        <v>300805.8185</v>
      </c>
    </row>
    <row r="173">
      <c r="A173" s="2">
        <f>IFERROR(__xludf.DUMMYFUNCTION("""COMPUTED_VALUE"""),46037.99861111111)</f>
        <v>46037.99861</v>
      </c>
      <c r="B173" s="3">
        <f>IFERROR(__xludf.DUMMYFUNCTION("""COMPUTED_VALUE"""),298284.27)</f>
        <v>298284.27</v>
      </c>
    </row>
    <row r="174">
      <c r="A174" s="2">
        <f>IFERROR(__xludf.DUMMYFUNCTION("""COMPUTED_VALUE"""),46038.99861111111)</f>
        <v>46038.99861</v>
      </c>
      <c r="B174" s="3">
        <f>IFERROR(__xludf.DUMMYFUNCTION("""COMPUTED_VALUE"""),297211.6523)</f>
        <v>297211.6523</v>
      </c>
    </row>
    <row r="175">
      <c r="A175" s="2">
        <f>IFERROR(__xludf.DUMMYFUNCTION("""COMPUTED_VALUE"""),46039.99861111111)</f>
        <v>46039.99861</v>
      </c>
      <c r="B175" s="3">
        <f>IFERROR(__xludf.DUMMYFUNCTION("""COMPUTED_VALUE"""),298680.3513)</f>
        <v>298680.3513</v>
      </c>
    </row>
    <row r="176">
      <c r="A176" s="2">
        <f>IFERROR(__xludf.DUMMYFUNCTION("""COMPUTED_VALUE"""),46040.99861111111)</f>
        <v>46040.99861</v>
      </c>
      <c r="B176" s="3">
        <f>IFERROR(__xludf.DUMMYFUNCTION("""COMPUTED_VALUE"""),300196.0154)</f>
        <v>300196.0154</v>
      </c>
    </row>
    <row r="177">
      <c r="A177" s="2">
        <f>IFERROR(__xludf.DUMMYFUNCTION("""COMPUTED_VALUE"""),46041.99861111111)</f>
        <v>46041.99861</v>
      </c>
      <c r="B177" s="3">
        <f>IFERROR(__xludf.DUMMYFUNCTION("""COMPUTED_VALUE"""),291905.5327)</f>
        <v>291905.5327</v>
      </c>
    </row>
    <row r="178">
      <c r="A178" s="2">
        <f>IFERROR(__xludf.DUMMYFUNCTION("""COMPUTED_VALUE"""),46042.99861111111)</f>
        <v>46042.99861</v>
      </c>
      <c r="B178" s="3">
        <f>IFERROR(__xludf.DUMMYFUNCTION("""COMPUTED_VALUE"""),288780.5336)</f>
        <v>288780.5336</v>
      </c>
    </row>
    <row r="179">
      <c r="A179" s="2">
        <f>IFERROR(__xludf.DUMMYFUNCTION("""COMPUTED_VALUE"""),46043.99861111111)</f>
        <v>46043.99861</v>
      </c>
      <c r="B179" s="3">
        <f>IFERROR(__xludf.DUMMYFUNCTION("""COMPUTED_VALUE"""),272553.0594)</f>
        <v>272553.0594</v>
      </c>
    </row>
    <row r="180">
      <c r="A180" s="2">
        <f>IFERROR(__xludf.DUMMYFUNCTION("""COMPUTED_VALUE"""),46044.99861111111)</f>
        <v>46044.99861</v>
      </c>
      <c r="B180" s="3">
        <f>IFERROR(__xludf.DUMMYFUNCTION("""COMPUTED_VALUE"""),276505.4793)</f>
        <v>276505.4793</v>
      </c>
    </row>
    <row r="181">
      <c r="A181" s="2">
        <f>IFERROR(__xludf.DUMMYFUNCTION("""COMPUTED_VALUE"""),46045.99861111111)</f>
        <v>46045.99861</v>
      </c>
      <c r="B181" s="3">
        <f>IFERROR(__xludf.DUMMYFUNCTION("""COMPUTED_VALUE"""),272114.5464)</f>
        <v>272114.5464</v>
      </c>
    </row>
    <row r="182">
      <c r="A182" s="2">
        <f>IFERROR(__xludf.DUMMYFUNCTION("""COMPUTED_VALUE"""),46046.99861111111)</f>
        <v>46046.99861</v>
      </c>
      <c r="B182" s="3">
        <f>IFERROR(__xludf.DUMMYFUNCTION("""COMPUTED_VALUE"""),270805.3919)</f>
        <v>270805.3919</v>
      </c>
    </row>
    <row r="183">
      <c r="A183" s="2">
        <f>IFERROR(__xludf.DUMMYFUNCTION("""COMPUTED_VALUE"""),46047.99861111111)</f>
        <v>46047.99861</v>
      </c>
      <c r="B183" s="3">
        <f>IFERROR(__xludf.DUMMYFUNCTION("""COMPUTED_VALUE"""),269159.6616)</f>
        <v>269159.6616</v>
      </c>
    </row>
    <row r="184">
      <c r="A184" s="2">
        <f>IFERROR(__xludf.DUMMYFUNCTION("""COMPUTED_VALUE"""),46048.99861111111)</f>
        <v>46048.99861</v>
      </c>
      <c r="B184" s="3">
        <f>IFERROR(__xludf.DUMMYFUNCTION("""COMPUTED_VALUE"""),262482.6541)</f>
        <v>262482.6541</v>
      </c>
    </row>
    <row r="185">
      <c r="A185" s="2">
        <f>IFERROR(__xludf.DUMMYFUNCTION("""COMPUTED_VALUE"""),46049.99861111111)</f>
        <v>46049.99861</v>
      </c>
      <c r="B185" s="3">
        <f>IFERROR(__xludf.DUMMYFUNCTION("""COMPUTED_VALUE"""),268943.838)</f>
        <v>268943.838</v>
      </c>
    </row>
    <row r="186">
      <c r="A186" s="2">
        <f>IFERROR(__xludf.DUMMYFUNCTION("""COMPUTED_VALUE"""),46050.99861111111)</f>
        <v>46050.99861</v>
      </c>
      <c r="B186" s="3">
        <f>IFERROR(__xludf.DUMMYFUNCTION("""COMPUTED_VALUE"""),275547.3535)</f>
        <v>275547.3535</v>
      </c>
    </row>
    <row r="187">
      <c r="A187" s="2">
        <f>IFERROR(__xludf.DUMMYFUNCTION("""COMPUTED_VALUE"""),46051.99861111111)</f>
        <v>46051.99861</v>
      </c>
      <c r="B187" s="3">
        <f>IFERROR(__xludf.DUMMYFUNCTION("""COMPUTED_VALUE"""),271253.2513)</f>
        <v>271253.2513</v>
      </c>
    </row>
    <row r="188">
      <c r="A188" s="2">
        <f>IFERROR(__xludf.DUMMYFUNCTION("""COMPUTED_VALUE"""),46052.99861111111)</f>
        <v>46052.99861</v>
      </c>
      <c r="B188" s="3">
        <f>IFERROR(__xludf.DUMMYFUNCTION("""COMPUTED_VALUE"""),252333.4428)</f>
        <v>252333.4428</v>
      </c>
    </row>
    <row r="189">
      <c r="A189" s="2">
        <f>IFERROR(__xludf.DUMMYFUNCTION("""COMPUTED_VALUE"""),46053.99861111111)</f>
        <v>46053.99861</v>
      </c>
      <c r="B189" s="3">
        <f>IFERROR(__xludf.DUMMYFUNCTION("""COMPUTED_VALUE"""),246676.0168)</f>
        <v>246676.0168</v>
      </c>
    </row>
    <row r="190">
      <c r="A190" s="2">
        <f>IFERROR(__xludf.DUMMYFUNCTION("""COMPUTED_VALUE"""),46054.99861111111)</f>
        <v>46054.99861</v>
      </c>
      <c r="B190" s="3">
        <f>IFERROR(__xludf.DUMMYFUNCTION("""COMPUTED_VALUE"""),224551.3335)</f>
        <v>224551.3335</v>
      </c>
    </row>
    <row r="191">
      <c r="A191" s="2">
        <f>IFERROR(__xludf.DUMMYFUNCTION("""COMPUTED_VALUE"""),46055.99861111111)</f>
        <v>46055.99861</v>
      </c>
      <c r="B191" s="3">
        <f>IFERROR(__xludf.DUMMYFUNCTION("""COMPUTED_VALUE"""),202129.6473)</f>
        <v>202129.6473</v>
      </c>
    </row>
    <row r="192">
      <c r="A192" s="2">
        <f>IFERROR(__xludf.DUMMYFUNCTION("""COMPUTED_VALUE"""),46056.99861111111)</f>
        <v>46056.99861</v>
      </c>
      <c r="B192" s="3">
        <f>IFERROR(__xludf.DUMMYFUNCTION("""COMPUTED_VALUE"""),211906.3392)</f>
        <v>211906.3392</v>
      </c>
    </row>
    <row r="193">
      <c r="A193" s="2">
        <f>IFERROR(__xludf.DUMMYFUNCTION("""COMPUTED_VALUE"""),46057.99861111111)</f>
        <v>46057.99861</v>
      </c>
      <c r="B193" s="3">
        <f>IFERROR(__xludf.DUMMYFUNCTION("""COMPUTED_VALUE"""),204602.516)</f>
        <v>204602.516</v>
      </c>
    </row>
    <row r="194">
      <c r="A194" s="2">
        <f>IFERROR(__xludf.DUMMYFUNCTION("""COMPUTED_VALUE"""),46058.99861111111)</f>
        <v>46058.99861</v>
      </c>
      <c r="B194" s="3">
        <f>IFERROR(__xludf.DUMMYFUNCTION("""COMPUTED_VALUE"""),189597.2565)</f>
        <v>189597.2565</v>
      </c>
    </row>
    <row r="195">
      <c r="A195" s="2">
        <f>IFERROR(__xludf.DUMMYFUNCTION("""COMPUTED_VALUE"""),46059.99861111111)</f>
        <v>46059.99861</v>
      </c>
      <c r="B195" s="3">
        <f>IFERROR(__xludf.DUMMYFUNCTION("""COMPUTED_VALUE"""),172758.1784)</f>
        <v>172758.1784</v>
      </c>
    </row>
    <row r="196">
      <c r="A196" s="2">
        <f>IFERROR(__xludf.DUMMYFUNCTION("""COMPUTED_VALUE"""),46060.99861111111)</f>
        <v>46060.99861</v>
      </c>
      <c r="B196" s="3">
        <f>IFERROR(__xludf.DUMMYFUNCTION("""COMPUTED_VALUE"""),189065.4428)</f>
        <v>189065.4428</v>
      </c>
    </row>
    <row r="197">
      <c r="A197" s="2">
        <f>IFERROR(__xludf.DUMMYFUNCTION("""COMPUTED_VALUE"""),46061.99861111111)</f>
        <v>46061.99861</v>
      </c>
      <c r="B197" s="3">
        <f>IFERROR(__xludf.DUMMYFUNCTION("""COMPUTED_VALUE"""),188747.588)</f>
        <v>188747.588</v>
      </c>
    </row>
    <row r="198">
      <c r="A198" s="2">
        <f>IFERROR(__xludf.DUMMYFUNCTION("""COMPUTED_VALUE"""),46062.99861111111)</f>
        <v>46062.99861</v>
      </c>
      <c r="B198" s="3">
        <f>IFERROR(__xludf.DUMMYFUNCTION("""COMPUTED_VALUE"""),189816.6056)</f>
        <v>189816.6056</v>
      </c>
    </row>
    <row r="199">
      <c r="A199" s="2">
        <f>IFERROR(__xludf.DUMMYFUNCTION("""COMPUTED_VALUE"""),46063.99861111111)</f>
        <v>46063.99861</v>
      </c>
      <c r="B199" s="3">
        <f>IFERROR(__xludf.DUMMYFUNCTION("""COMPUTED_VALUE"""),187462.6797)</f>
        <v>187462.6797</v>
      </c>
    </row>
    <row r="200">
      <c r="A200" s="2">
        <f>IFERROR(__xludf.DUMMYFUNCTION("""COMPUTED_VALUE"""),46064.99861111111)</f>
        <v>46064.99861</v>
      </c>
      <c r="B200" s="3">
        <f>IFERROR(__xludf.DUMMYFUNCTION("""COMPUTED_VALUE"""),178706.3723)</f>
        <v>178706.3723</v>
      </c>
    </row>
    <row r="201">
      <c r="A201" s="2">
        <f>IFERROR(__xludf.DUMMYFUNCTION("""COMPUTED_VALUE"""),46065.99861111111)</f>
        <v>46065.99861</v>
      </c>
      <c r="B201" s="3">
        <f>IFERROR(__xludf.DUMMYFUNCTION("""COMPUTED_VALUE"""),177995.7801)</f>
        <v>177995.7801</v>
      </c>
    </row>
    <row r="202">
      <c r="A202" s="2">
        <f>IFERROR(__xludf.DUMMYFUNCTION("""COMPUTED_VALUE"""),46066.99861111111)</f>
        <v>46066.99861</v>
      </c>
      <c r="B202" s="3">
        <f>IFERROR(__xludf.DUMMYFUNCTION("""COMPUTED_VALUE"""),175973.1043)</f>
        <v>175973.1043</v>
      </c>
    </row>
    <row r="203">
      <c r="A203" s="2">
        <f>IFERROR(__xludf.DUMMYFUNCTION("""COMPUTED_VALUE"""),46067.99861111111)</f>
        <v>46067.99861</v>
      </c>
      <c r="B203" s="3">
        <f>IFERROR(__xludf.DUMMYFUNCTION("""COMPUTED_VALUE"""),185960.2742)</f>
        <v>185960.2742</v>
      </c>
    </row>
    <row r="204">
      <c r="A204" s="2">
        <f>IFERROR(__xludf.DUMMYFUNCTION("""COMPUTED_VALUE"""),46068.99861111111)</f>
        <v>46068.99861</v>
      </c>
      <c r="B204" s="3">
        <f>IFERROR(__xludf.DUMMYFUNCTION("""COMPUTED_VALUE"""),187975.3091)</f>
        <v>187975.3091</v>
      </c>
    </row>
    <row r="205">
      <c r="A205" s="2">
        <f>IFERROR(__xludf.DUMMYFUNCTION("""COMPUTED_VALUE"""),46069.99861111111)</f>
        <v>46069.99861</v>
      </c>
      <c r="B205" s="3">
        <f>IFERROR(__xludf.DUMMYFUNCTION("""COMPUTED_VALUE"""),179027.5543)</f>
        <v>179027.5543</v>
      </c>
    </row>
    <row r="206">
      <c r="A206" s="2">
        <f>IFERROR(__xludf.DUMMYFUNCTION("""COMPUTED_VALUE"""),46070.99861111111)</f>
        <v>46070.99861</v>
      </c>
      <c r="B206" s="3">
        <f>IFERROR(__xludf.DUMMYFUNCTION("""COMPUTED_VALUE"""),180152.6109)</f>
        <v>180152.6109</v>
      </c>
    </row>
    <row r="207">
      <c r="A207" s="2">
        <f>IFERROR(__xludf.DUMMYFUNCTION("""COMPUTED_VALUE"""),46071.99861111111)</f>
        <v>46071.99861</v>
      </c>
      <c r="B207" s="3">
        <f>IFERROR(__xludf.DUMMYFUNCTION("""COMPUTED_VALUE"""),181382.6924)</f>
        <v>181382.6924</v>
      </c>
    </row>
    <row r="208">
      <c r="A208" s="2">
        <f>IFERROR(__xludf.DUMMYFUNCTION("""COMPUTED_VALUE"""),46072.99861111111)</f>
        <v>46072.99861</v>
      </c>
      <c r="B208" s="3">
        <f>IFERROR(__xludf.DUMMYFUNCTION("""COMPUTED_VALUE"""),179333.1014)</f>
        <v>179333.1014</v>
      </c>
    </row>
    <row r="209">
      <c r="A209" s="2">
        <f>IFERROR(__xludf.DUMMYFUNCTION("""COMPUTED_VALUE"""),46073.99861111111)</f>
        <v>46073.99861</v>
      </c>
      <c r="B209" s="3">
        <f>IFERROR(__xludf.DUMMYFUNCTION("""COMPUTED_VALUE"""),175956.496)</f>
        <v>175956.496</v>
      </c>
    </row>
    <row r="210">
      <c r="A210" s="2">
        <f>IFERROR(__xludf.DUMMYFUNCTION("""COMPUTED_VALUE"""),46074.99861111111)</f>
        <v>46074.99861</v>
      </c>
      <c r="B210" s="3">
        <f>IFERROR(__xludf.DUMMYFUNCTION("""COMPUTED_VALUE"""),177988.9435)</f>
        <v>177988.9435</v>
      </c>
    </row>
    <row r="211">
      <c r="A211" s="2">
        <f>IFERROR(__xludf.DUMMYFUNCTION("""COMPUTED_VALUE"""),46075.99861111111)</f>
        <v>46075.99861</v>
      </c>
      <c r="B211" s="3">
        <f>IFERROR(__xludf.DUMMYFUNCTION("""COMPUTED_VALUE"""),178952.1998)</f>
        <v>178952.1998</v>
      </c>
    </row>
    <row r="212">
      <c r="A212" s="2">
        <f>IFERROR(__xludf.DUMMYFUNCTION("""COMPUTED_VALUE"""),46076.99861111111)</f>
        <v>46076.99861</v>
      </c>
      <c r="B212" s="3">
        <f>IFERROR(__xludf.DUMMYFUNCTION("""COMPUTED_VALUE"""),169284.4965)</f>
        <v>169284.4965</v>
      </c>
    </row>
    <row r="213">
      <c r="A213" s="2">
        <f>IFERROR(__xludf.DUMMYFUNCTION("""COMPUTED_VALUE"""),46077.99861111111)</f>
        <v>46077.99861</v>
      </c>
      <c r="B213" s="3">
        <f>IFERROR(__xludf.DUMMYFUNCTION("""COMPUTED_VALUE"""),166305.2031)</f>
        <v>166305.2031</v>
      </c>
    </row>
    <row r="214">
      <c r="A214" s="2">
        <f>IFERROR(__xludf.DUMMYFUNCTION("""COMPUTED_VALUE"""),46078.99861111111)</f>
        <v>46078.99861</v>
      </c>
      <c r="B214" s="3">
        <f>IFERROR(__xludf.DUMMYFUNCTION("""COMPUTED_VALUE"""),173391.5083)</f>
        <v>173391.5083</v>
      </c>
    </row>
    <row r="215">
      <c r="A215" s="2">
        <f>IFERROR(__xludf.DUMMYFUNCTION("""COMPUTED_VALUE"""),46079.99861111111)</f>
        <v>46079.99861</v>
      </c>
      <c r="B215" s="3">
        <f>IFERROR(__xludf.DUMMYFUNCTION("""COMPUTED_VALUE"""),188974.1763)</f>
        <v>188974.1763</v>
      </c>
    </row>
    <row r="216">
      <c r="A216" s="2">
        <f>IFERROR(__xludf.DUMMYFUNCTION("""COMPUTED_VALUE"""),46080.99861111111)</f>
        <v>46080.99861</v>
      </c>
      <c r="B216" s="3">
        <f>IFERROR(__xludf.DUMMYFUNCTION("""COMPUTED_VALUE"""),186037.8307)</f>
        <v>186037.8307</v>
      </c>
    </row>
    <row r="217">
      <c r="A217" s="2">
        <f>IFERROR(__xludf.DUMMYFUNCTION("""COMPUTED_VALUE"""),46081.99861111111)</f>
        <v>46081.99861</v>
      </c>
      <c r="B217" s="3">
        <f>IFERROR(__xludf.DUMMYFUNCTION("""COMPUTED_VALUE"""),175339.7471)</f>
        <v>175339.7471</v>
      </c>
    </row>
    <row r="218">
      <c r="A218" s="2">
        <f>IFERROR(__xludf.DUMMYFUNCTION("""COMPUTED_VALUE"""),46082.99861111111)</f>
        <v>46082.99861</v>
      </c>
      <c r="B218" s="3">
        <f>IFERROR(__xludf.DUMMYFUNCTION("""COMPUTED_VALUE"""),183512.3404)</f>
        <v>183512.3404</v>
      </c>
    </row>
    <row r="219">
      <c r="A219" s="2">
        <f>IFERROR(__xludf.DUMMYFUNCTION("""COMPUTED_VALUE"""),46083.99861111111)</f>
        <v>46083.99861</v>
      </c>
      <c r="B219" s="3">
        <f>IFERROR(__xludf.DUMMYFUNCTION("""COMPUTED_VALUE"""),180474.5627)</f>
        <v>180474.5627</v>
      </c>
    </row>
    <row r="220">
      <c r="A220" s="2">
        <f>IFERROR(__xludf.DUMMYFUNCTION("""COMPUTED_VALUE"""),46084.99861111111)</f>
        <v>46084.99861</v>
      </c>
      <c r="B220" s="3">
        <f>IFERROR(__xludf.DUMMYFUNCTION("""COMPUTED_VALUE"""),183990.8307)</f>
        <v>183990.8307</v>
      </c>
    </row>
    <row r="221">
      <c r="A221" s="2">
        <f>IFERROR(__xludf.DUMMYFUNCTION("""COMPUTED_VALUE"""),46085.99861111111)</f>
        <v>46085.99861</v>
      </c>
      <c r="B221" s="3">
        <f>IFERROR(__xludf.DUMMYFUNCTION("""COMPUTED_VALUE"""),180662.4102)</f>
        <v>180662.4102</v>
      </c>
    </row>
    <row r="222">
      <c r="A222" s="2">
        <f>IFERROR(__xludf.DUMMYFUNCTION("""COMPUTED_VALUE"""),46086.99861111111)</f>
        <v>46086.99861</v>
      </c>
      <c r="B222" s="3">
        <f>IFERROR(__xludf.DUMMYFUNCTION("""COMPUTED_VALUE"""),196198.0653)</f>
        <v>196198.0653</v>
      </c>
    </row>
    <row r="223">
      <c r="A223" s="2">
        <f>IFERROR(__xludf.DUMMYFUNCTION("""COMPUTED_VALUE"""),46087.99861111111)</f>
        <v>46087.99861</v>
      </c>
      <c r="B223" s="3">
        <f>IFERROR(__xludf.DUMMYFUNCTION("""COMPUTED_VALUE"""),190274.0294)</f>
        <v>190274.0294</v>
      </c>
    </row>
    <row r="224">
      <c r="A224" s="2">
        <f>IFERROR(__xludf.DUMMYFUNCTION("""COMPUTED_VALUE"""),46088.99861111111)</f>
        <v>46088.99861</v>
      </c>
      <c r="B224" s="3">
        <f>IFERROR(__xludf.DUMMYFUNCTION("""COMPUTED_VALUE"""),181651.6867)</f>
        <v>181651.6867</v>
      </c>
    </row>
    <row r="225">
      <c r="A225" s="2">
        <f>IFERROR(__xludf.DUMMYFUNCTION("""COMPUTED_VALUE"""),46089.99861111111)</f>
        <v>46089.99861</v>
      </c>
      <c r="B225" s="3">
        <f>IFERROR(__xludf.DUMMYFUNCTION("""COMPUTED_VALUE"""),178007.0233)</f>
        <v>178007.0233</v>
      </c>
    </row>
    <row r="226">
      <c r="A226" s="2">
        <f>IFERROR(__xludf.DUMMYFUNCTION("""COMPUTED_VALUE"""),46090.99861111111)</f>
        <v>46090.99861</v>
      </c>
      <c r="B226" s="3">
        <f>IFERROR(__xludf.DUMMYFUNCTION("""COMPUTED_VALUE"""),180374.6789)</f>
        <v>180374.6789</v>
      </c>
    </row>
    <row r="227">
      <c r="A227" s="2">
        <f>IFERROR(__xludf.DUMMYFUNCTION("""COMPUTED_VALUE"""),46091.99861111111)</f>
        <v>46091.99861</v>
      </c>
      <c r="B227" s="3">
        <f>IFERROR(__xludf.DUMMYFUNCTION("""COMPUTED_VALUE"""),186708.1584)</f>
        <v>186708.1584</v>
      </c>
    </row>
    <row r="228">
      <c r="A228" s="2">
        <f>IFERROR(__xludf.DUMMYFUNCTION("""COMPUTED_VALUE"""),46092.99861111111)</f>
        <v>46092.99861</v>
      </c>
      <c r="B228" s="3">
        <f>IFERROR(__xludf.DUMMYFUNCTION("""COMPUTED_VALUE"""),186357.0014)</f>
        <v>186357.0014</v>
      </c>
    </row>
    <row r="229">
      <c r="A229" s="2">
        <f>IFERROR(__xludf.DUMMYFUNCTION("""COMPUTED_VALUE"""),46093.99861111111)</f>
        <v>46093.99861</v>
      </c>
      <c r="B229" s="3">
        <f>IFERROR(__xludf.DUMMYFUNCTION("""COMPUTED_VALUE"""),186843.1617)</f>
        <v>186843.1617</v>
      </c>
    </row>
    <row r="230">
      <c r="A230" s="2">
        <f>IFERROR(__xludf.DUMMYFUNCTION("""COMPUTED_VALUE"""),46094.99861111111)</f>
        <v>46094.99861</v>
      </c>
      <c r="B230" s="3">
        <f>IFERROR(__xludf.DUMMYFUNCTION("""COMPUTED_VALUE"""),195994.6652)</f>
        <v>195994.6652</v>
      </c>
    </row>
    <row r="231">
      <c r="A231" s="2">
        <f>IFERROR(__xludf.DUMMYFUNCTION("""COMPUTED_VALUE"""),46095.99861111111)</f>
        <v>46095.99861</v>
      </c>
      <c r="B231" s="3">
        <f>IFERROR(__xludf.DUMMYFUNCTION("""COMPUTED_VALUE"""),194479.8853)</f>
        <v>194479.8853</v>
      </c>
    </row>
    <row r="232">
      <c r="A232" s="2">
        <f>IFERROR(__xludf.DUMMYFUNCTION("""COMPUTED_VALUE"""),46096.99861111111)</f>
        <v>46096.99861</v>
      </c>
      <c r="B232" s="3">
        <f>IFERROR(__xludf.DUMMYFUNCTION("""COMPUTED_VALUE"""),194006.5886)</f>
        <v>194006.5886</v>
      </c>
    </row>
    <row r="233">
      <c r="A233" s="2">
        <f>IFERROR(__xludf.DUMMYFUNCTION("""COMPUTED_VALUE"""),46097.99861111111)</f>
        <v>46097.99861</v>
      </c>
      <c r="B233" s="3">
        <f>IFERROR(__xludf.DUMMYFUNCTION("""COMPUTED_VALUE"""),206238.3513)</f>
        <v>206238.3513</v>
      </c>
    </row>
    <row r="234">
      <c r="A234" s="2">
        <f>IFERROR(__xludf.DUMMYFUNCTION("""COMPUTED_VALUE"""),46098.99861111111)</f>
        <v>46098.99861</v>
      </c>
      <c r="B234" s="3">
        <f>IFERROR(__xludf.DUMMYFUNCTION("""COMPUTED_VALUE"""),214252.8988)</f>
        <v>214252.8988</v>
      </c>
    </row>
    <row r="235">
      <c r="A235" s="2">
        <f>IFERROR(__xludf.DUMMYFUNCTION("""COMPUTED_VALUE"""),46099.99861111111)</f>
        <v>46099.99861</v>
      </c>
      <c r="B235" s="3">
        <f>IFERROR(__xludf.DUMMYFUNCTION("""COMPUTED_VALUE"""),218148.2521)</f>
        <v>218148.2521</v>
      </c>
    </row>
    <row r="236">
      <c r="A236" s="2">
        <f>IFERROR(__xludf.DUMMYFUNCTION("""COMPUTED_VALUE"""),46100.99861111111)</f>
        <v>46100.99861</v>
      </c>
      <c r="B236" s="3">
        <f>IFERROR(__xludf.DUMMYFUNCTION("""COMPUTED_VALUE"""),205931.9235)</f>
        <v>205931.9235</v>
      </c>
    </row>
    <row r="237">
      <c r="A237" s="2">
        <f>IFERROR(__xludf.DUMMYFUNCTION("""COMPUTED_VALUE"""),46101.99861111111)</f>
        <v>46101.99861</v>
      </c>
      <c r="B237" s="3">
        <f>IFERROR(__xludf.DUMMYFUNCTION("""COMPUTED_VALUE"""),201956.9181)</f>
        <v>201956.9181</v>
      </c>
    </row>
    <row r="238">
      <c r="A238" s="2">
        <f>IFERROR(__xludf.DUMMYFUNCTION("""COMPUTED_VALUE"""),46102.99861111111)</f>
        <v>46102.99861</v>
      </c>
      <c r="B238" s="3">
        <f>IFERROR(__xludf.DUMMYFUNCTION("""COMPUTED_VALUE"""),202157.6068)</f>
        <v>202157.6068</v>
      </c>
    </row>
    <row r="239">
      <c r="A239" s="2">
        <f>IFERROR(__xludf.DUMMYFUNCTION("""COMPUTED_VALUE"""),46103.99861111111)</f>
        <v>46103.99861</v>
      </c>
      <c r="B239" s="3">
        <f>IFERROR(__xludf.DUMMYFUNCTION("""COMPUTED_VALUE"""),198455.0896)</f>
        <v>198455.0896</v>
      </c>
    </row>
    <row r="240">
      <c r="A240" s="2">
        <f>IFERROR(__xludf.DUMMYFUNCTION("""COMPUTED_VALUE"""),46104.99861111111)</f>
        <v>46104.99861</v>
      </c>
      <c r="B240" s="3">
        <f>IFERROR(__xludf.DUMMYFUNCTION("""COMPUTED_VALUE"""),191302.681)</f>
        <v>191302.681</v>
      </c>
    </row>
    <row r="241">
      <c r="A241" s="2">
        <f>IFERROR(__xludf.DUMMYFUNCTION("""COMPUTED_VALUE"""),46105.99861111111)</f>
        <v>46105.99861</v>
      </c>
      <c r="B241" s="3">
        <f>IFERROR(__xludf.DUMMYFUNCTION("""COMPUTED_VALUE"""),201769.0374)</f>
        <v>201769.0374</v>
      </c>
    </row>
    <row r="242">
      <c r="A242" s="2">
        <f>IFERROR(__xludf.DUMMYFUNCTION("""COMPUTED_VALUE"""),46106.99861111111)</f>
        <v>46106.99861</v>
      </c>
      <c r="B242" s="3">
        <f>IFERROR(__xludf.DUMMYFUNCTION("""COMPUTED_VALUE"""),204237.7813)</f>
        <v>204237.7813</v>
      </c>
    </row>
    <row r="243">
      <c r="A243" s="2">
        <f>IFERROR(__xludf.DUMMYFUNCTION("""COMPUTED_VALUE"""),46107.99861111111)</f>
        <v>46107.99861</v>
      </c>
      <c r="B243" s="3">
        <f>IFERROR(__xludf.DUMMYFUNCTION("""COMPUTED_VALUE"""),202912.1517)</f>
        <v>202912.1517</v>
      </c>
    </row>
    <row r="244">
      <c r="A244" s="2">
        <f>IFERROR(__xludf.DUMMYFUNCTION("""COMPUTED_VALUE"""),46108.99861111111)</f>
        <v>46108.99861</v>
      </c>
      <c r="B244" s="3">
        <f>IFERROR(__xludf.DUMMYFUNCTION("""COMPUTED_VALUE"""),195378.0069)</f>
        <v>195378.0069</v>
      </c>
    </row>
    <row r="245">
      <c r="A245" s="2">
        <f>IFERROR(__xludf.DUMMYFUNCTION("""COMPUTED_VALUE"""),46109.99861111111)</f>
        <v>46109.99861</v>
      </c>
      <c r="B245" s="3">
        <f>IFERROR(__xludf.DUMMYFUNCTION("""COMPUTED_VALUE"""),188404.7042)</f>
        <v>188404.7042</v>
      </c>
    </row>
    <row r="246">
      <c r="A246" s="2">
        <f>IFERROR(__xludf.DUMMYFUNCTION("""COMPUTED_VALUE"""),46110.99861111111)</f>
        <v>46110.99861</v>
      </c>
      <c r="B246" s="3">
        <f>IFERROR(__xludf.DUMMYFUNCTION("""COMPUTED_VALUE"""),190573.9913)</f>
        <v>190573.9913</v>
      </c>
    </row>
    <row r="247">
      <c r="A247" s="2">
        <f>IFERROR(__xludf.DUMMYFUNCTION("""COMPUTED_VALUE"""),46111.99861111111)</f>
        <v>46111.99861</v>
      </c>
      <c r="B247" s="3">
        <f>IFERROR(__xludf.DUMMYFUNCTION("""COMPUTED_VALUE"""),191926.3518)</f>
        <v>191926.3518</v>
      </c>
    </row>
    <row r="248">
      <c r="A248" s="2">
        <f>IFERROR(__xludf.DUMMYFUNCTION("""COMPUTED_VALUE"""),46112.99861111111)</f>
        <v>46112.99861</v>
      </c>
      <c r="B248" s="3">
        <f>IFERROR(__xludf.DUMMYFUNCTION("""COMPUTED_VALUE"""),193004.9356)</f>
        <v>193004.9356</v>
      </c>
    </row>
    <row r="249">
      <c r="A249" s="2">
        <f>IFERROR(__xludf.DUMMYFUNCTION("""COMPUTED_VALUE"""),46113.99861111111)</f>
        <v>46113.99861</v>
      </c>
      <c r="B249" s="3">
        <f>IFERROR(__xludf.DUMMYFUNCTION("""COMPUTED_VALUE"""),194520.2668)</f>
        <v>194520.2668</v>
      </c>
    </row>
    <row r="250">
      <c r="A250" s="2">
        <f>IFERROR(__xludf.DUMMYFUNCTION("""COMPUTED_VALUE"""),46114.99861111111)</f>
        <v>46114.99861</v>
      </c>
      <c r="B250" s="3">
        <f>IFERROR(__xludf.DUMMYFUNCTION("""COMPUTED_VALUE"""),191163.5034)</f>
        <v>191163.5034</v>
      </c>
    </row>
    <row r="251">
      <c r="A251" s="2">
        <f>IFERROR(__xludf.DUMMYFUNCTION("""COMPUTED_VALUE"""),46115.99861111111)</f>
        <v>46115.99861</v>
      </c>
      <c r="B251" s="3">
        <f>IFERROR(__xludf.DUMMYFUNCTION("""COMPUTED_VALUE"""),190481.6355)</f>
        <v>190481.6355</v>
      </c>
    </row>
    <row r="252">
      <c r="A252" s="2">
        <f>IFERROR(__xludf.DUMMYFUNCTION("""COMPUTED_VALUE"""),46116.99861111111)</f>
        <v>46116.99861</v>
      </c>
      <c r="B252" s="3">
        <f>IFERROR(__xludf.DUMMYFUNCTION("""COMPUTED_VALUE"""),190072.2892)</f>
        <v>190072.2892</v>
      </c>
    </row>
    <row r="253">
      <c r="A253" s="2">
        <f>IFERROR(__xludf.DUMMYFUNCTION("""COMPUTED_VALUE"""),46117.99861111111)</f>
        <v>46117.99861</v>
      </c>
      <c r="B253" s="3">
        <f>IFERROR(__xludf.DUMMYFUNCTION("""COMPUTED_VALUE"""),191128.6235)</f>
        <v>191128.6235</v>
      </c>
    </row>
    <row r="254">
      <c r="A254" s="2">
        <f>IFERROR(__xludf.DUMMYFUNCTION("""COMPUTED_VALUE"""),46118.99861111111)</f>
        <v>46118.99861</v>
      </c>
      <c r="B254" s="3">
        <f>IFERROR(__xludf.DUMMYFUNCTION("""COMPUTED_VALUE"""),197415.5172)</f>
        <v>197415.5172</v>
      </c>
    </row>
    <row r="255">
      <c r="A255" s="2">
        <f>IFERROR(__xludf.DUMMYFUNCTION("""COMPUTED_VALUE"""),46119.99861111111)</f>
        <v>46119.99861</v>
      </c>
      <c r="B255" s="3">
        <f>IFERROR(__xludf.DUMMYFUNCTION("""COMPUTED_VALUE"""),195644.7034)</f>
        <v>195644.7034</v>
      </c>
    </row>
    <row r="256">
      <c r="A256" s="2">
        <f>IFERROR(__xludf.DUMMYFUNCTION("""COMPUTED_VALUE"""),46120.99861111111)</f>
        <v>46120.99861</v>
      </c>
      <c r="B256" s="3">
        <f>IFERROR(__xludf.DUMMYFUNCTION("""COMPUTED_VALUE"""),206051.0808)</f>
        <v>206051.0808</v>
      </c>
    </row>
    <row r="257">
      <c r="A257" s="2">
        <f>IFERROR(__xludf.DUMMYFUNCTION("""COMPUTED_VALUE"""),46121.99861111111)</f>
        <v>46121.99861</v>
      </c>
      <c r="B257" s="3">
        <f>IFERROR(__xludf.DUMMYFUNCTION("""COMPUTED_VALUE"""),201727.3386)</f>
        <v>201727.3386</v>
      </c>
    </row>
    <row r="258">
      <c r="A258" s="2">
        <f>IFERROR(__xludf.DUMMYFUNCTION("""COMPUTED_VALUE"""),46122.99861111111)</f>
        <v>46122.99861</v>
      </c>
      <c r="B258" s="3">
        <f>IFERROR(__xludf.DUMMYFUNCTION("""COMPUTED_VALUE"""),203485.3163)</f>
        <v>203485.3163</v>
      </c>
    </row>
    <row r="259">
      <c r="A259" s="2">
        <f>IFERROR(__xludf.DUMMYFUNCTION("""COMPUTED_VALUE"""),46123.99861111111)</f>
        <v>46123.99861</v>
      </c>
      <c r="B259" s="3">
        <f>IFERROR(__xludf.DUMMYFUNCTION("""COMPUTED_VALUE"""),208246.8051)</f>
        <v>208246.8051</v>
      </c>
    </row>
    <row r="260">
      <c r="A260" s="2">
        <f>IFERROR(__xludf.DUMMYFUNCTION("""COMPUTED_VALUE"""),46124.99861111111)</f>
        <v>46124.99861</v>
      </c>
      <c r="B260" s="3">
        <f>IFERROR(__xludf.DUMMYFUNCTION("""COMPUTED_VALUE"""),209396.1794)</f>
        <v>209396.1794</v>
      </c>
    </row>
    <row r="261">
      <c r="A261" s="2">
        <f>IFERROR(__xludf.DUMMYFUNCTION("""COMPUTED_VALUE"""),46125.99861111111)</f>
        <v>46125.99861</v>
      </c>
      <c r="B261" s="3">
        <f>IFERROR(__xludf.DUMMYFUNCTION("""COMPUTED_VALUE"""),208275.2483)</f>
        <v>208275.2483</v>
      </c>
    </row>
    <row r="262">
      <c r="A262" s="2">
        <f>IFERROR(__xludf.DUMMYFUNCTION("""COMPUTED_VALUE"""),46126.99861111111)</f>
        <v>46126.99861</v>
      </c>
      <c r="B262" s="3">
        <f>IFERROR(__xludf.DUMMYFUNCTION("""COMPUTED_VALUE"""),220302.6994)</f>
        <v>220302.6994</v>
      </c>
    </row>
    <row r="263">
      <c r="A263" s="2">
        <f>IFERROR(__xludf.DUMMYFUNCTION("""COMPUTED_VALUE"""),46127.99861111111)</f>
        <v>46127.99861</v>
      </c>
      <c r="B263" s="3">
        <f>IFERROR(__xludf.DUMMYFUNCTION("""COMPUTED_VALUE"""),217419.6286)</f>
        <v>217419.6286</v>
      </c>
    </row>
    <row r="264">
      <c r="A264" s="2">
        <f>IFERROR(__xludf.DUMMYFUNCTION("""COMPUTED_VALUE"""),46128.99861111111)</f>
        <v>46128.99861</v>
      </c>
      <c r="B264" s="3">
        <f>IFERROR(__xludf.DUMMYFUNCTION("""COMPUTED_VALUE"""),215821.1108)</f>
        <v>215821.1108</v>
      </c>
    </row>
    <row r="265">
      <c r="A265" s="2">
        <f>IFERROR(__xludf.DUMMYFUNCTION("""COMPUTED_VALUE"""),46129.99861111111)</f>
        <v>46129.99861</v>
      </c>
      <c r="B265" s="3">
        <f>IFERROR(__xludf.DUMMYFUNCTION("""COMPUTED_VALUE"""),214787.3264)</f>
        <v>214787.3264</v>
      </c>
    </row>
    <row r="266">
      <c r="A266" s="2">
        <f>IFERROR(__xludf.DUMMYFUNCTION("""COMPUTED_VALUE"""),46141.99861111111)</f>
        <v>46141.99861</v>
      </c>
      <c r="B266" s="3">
        <f>IFERROR(__xludf.DUMMYFUNCTION("""COMPUTED_VALUE"""),218792.7151)</f>
        <v>218792.7151</v>
      </c>
    </row>
    <row r="267">
      <c r="A267" s="2">
        <f>IFERROR(__xludf.DUMMYFUNCTION("""COMPUTED_VALUE"""),46142.99861111111)</f>
        <v>46142.99861</v>
      </c>
      <c r="B267" s="3">
        <f>IFERROR(__xludf.DUMMYFUNCTION("""COMPUTED_VALUE"""),213566.8733)</f>
        <v>213566.8733</v>
      </c>
    </row>
    <row r="268">
      <c r="A268" s="2">
        <f>IFERROR(__xludf.DUMMYFUNCTION("""COMPUTED_VALUE"""),46143.99861111111)</f>
        <v>46143.99861</v>
      </c>
      <c r="B268" s="3">
        <f>IFERROR(__xludf.DUMMYFUNCTION("""COMPUTED_VALUE"""),216276.8133)</f>
        <v>216276.8133</v>
      </c>
    </row>
    <row r="269">
      <c r="A269" s="2">
        <f>IFERROR(__xludf.DUMMYFUNCTION("""COMPUTED_VALUE"""),46144.99861111111)</f>
        <v>46144.99861</v>
      </c>
      <c r="B269" s="3">
        <f>IFERROR(__xludf.DUMMYFUNCTION("""COMPUTED_VALUE"""),218618.2204)</f>
        <v>218618.2204</v>
      </c>
    </row>
    <row r="270">
      <c r="A270" s="2">
        <f>IFERROR(__xludf.DUMMYFUNCTION("""COMPUTED_VALUE"""),46145.99861111111)</f>
        <v>46145.99861</v>
      </c>
      <c r="B270" s="3">
        <f>IFERROR(__xludf.DUMMYFUNCTION("""COMPUTED_VALUE"""),218453.0348)</f>
        <v>218453.0348</v>
      </c>
    </row>
    <row r="271">
      <c r="A271" s="2">
        <f>IFERROR(__xludf.DUMMYFUNCTION("""COMPUTED_VALUE"""),46146.99861111111)</f>
        <v>46146.99861</v>
      </c>
      <c r="B271" s="3">
        <f>IFERROR(__xludf.DUMMYFUNCTION("""COMPUTED_VALUE"""),227215.588)</f>
        <v>227215.588</v>
      </c>
    </row>
    <row r="272">
      <c r="A272" s="2">
        <f>IFERROR(__xludf.DUMMYFUNCTION("""COMPUTED_VALUE"""),46147.99861111111)</f>
        <v>46147.99861</v>
      </c>
      <c r="B272" s="3">
        <f>IFERROR(__xludf.DUMMYFUNCTION("""COMPUTED_VALUE"""),226697.6607)</f>
        <v>226697.6607</v>
      </c>
    </row>
    <row r="273">
      <c r="A273" s="2">
        <f>IFERROR(__xludf.DUMMYFUNCTION("""COMPUTED_VALUE"""),46148.99861111111)</f>
        <v>46148.99861</v>
      </c>
      <c r="B273" s="3">
        <f>IFERROR(__xludf.DUMMYFUNCTION("""COMPUTED_VALUE"""),224811.1031)</f>
        <v>224811.1031</v>
      </c>
    </row>
    <row r="274">
      <c r="A274" s="2">
        <f>IFERROR(__xludf.DUMMYFUNCTION("""COMPUTED_VALUE"""),46149.99861111111)</f>
        <v>46149.99861</v>
      </c>
      <c r="B274" s="3">
        <f>IFERROR(__xludf.DUMMYFUNCTION("""COMPUTED_VALUE"""),218072.9543)</f>
        <v>218072.9543</v>
      </c>
    </row>
    <row r="275">
      <c r="A275" s="2">
        <f>IFERROR(__xludf.DUMMYFUNCTION("""COMPUTED_VALUE"""),46150.99861111111)</f>
        <v>46150.99861</v>
      </c>
      <c r="B275" s="3">
        <f>IFERROR(__xludf.DUMMYFUNCTION("""COMPUTED_VALUE"""),214822.0004)</f>
        <v>214822.0004</v>
      </c>
    </row>
    <row r="276">
      <c r="A276" s="2">
        <f>IFERROR(__xludf.DUMMYFUNCTION("""COMPUTED_VALUE"""),46151.99861111111)</f>
        <v>46151.99861</v>
      </c>
      <c r="B276" s="3">
        <f>IFERROR(__xludf.DUMMYFUNCTION("""COMPUTED_VALUE"""),217814.2636)</f>
        <v>217814.2636</v>
      </c>
    </row>
    <row r="277">
      <c r="A277" s="2">
        <f>IFERROR(__xludf.DUMMYFUNCTION("""COMPUTED_VALUE"""),46152.99861111111)</f>
        <v>46152.99861</v>
      </c>
      <c r="B277" s="3">
        <f>IFERROR(__xludf.DUMMYFUNCTION("""COMPUTED_VALUE"""),219220.2893)</f>
        <v>219220.2893</v>
      </c>
    </row>
    <row r="278">
      <c r="A278" s="2">
        <f>IFERROR(__xludf.DUMMYFUNCTION("""COMPUTED_VALUE"""),46153.99861111111)</f>
        <v>46153.99861</v>
      </c>
      <c r="B278" s="3">
        <f>IFERROR(__xludf.DUMMYFUNCTION("""COMPUTED_VALUE"""),221741.0028)</f>
        <v>221741.0028</v>
      </c>
    </row>
    <row r="279">
      <c r="A279" s="2">
        <f>IFERROR(__xludf.DUMMYFUNCTION("""COMPUTED_VALUE"""),46154.99861111111)</f>
        <v>46154.99861</v>
      </c>
      <c r="B279" s="3">
        <f>IFERROR(__xludf.DUMMYFUNCTION("""COMPUTED_VALUE"""),220559.7962)</f>
        <v>220559.7962</v>
      </c>
    </row>
    <row r="280">
      <c r="A280" s="2">
        <f>IFERROR(__xludf.DUMMYFUNCTION("""COMPUTED_VALUE"""),46155.99861111111)</f>
        <v>46155.99861</v>
      </c>
      <c r="B280" s="3">
        <f>IFERROR(__xludf.DUMMYFUNCTION("""COMPUTED_VALUE"""),220171.0485)</f>
        <v>220171.0485</v>
      </c>
    </row>
    <row r="281">
      <c r="A281" s="2">
        <f>IFERROR(__xludf.DUMMYFUNCTION("""COMPUTED_VALUE"""),46156.99861111111)</f>
        <v>46156.99861</v>
      </c>
      <c r="B281" s="3">
        <f>IFERROR(__xludf.DUMMYFUNCTION("""COMPUTED_VALUE"""),214396.7812)</f>
        <v>214396.7812</v>
      </c>
    </row>
    <row r="282">
      <c r="A282" s="2">
        <f>IFERROR(__xludf.DUMMYFUNCTION("""COMPUTED_VALUE"""),46157.99861111111)</f>
        <v>46157.99861</v>
      </c>
      <c r="B282" s="3">
        <f>IFERROR(__xludf.DUMMYFUNCTION("""COMPUTED_VALUE"""),218113.2644)</f>
        <v>218113.2644</v>
      </c>
    </row>
    <row r="283">
      <c r="A283" s="2">
        <f>IFERROR(__xludf.DUMMYFUNCTION("""COMPUTED_VALUE"""),46158.99861111111)</f>
        <v>46158.99861</v>
      </c>
      <c r="B283" s="3">
        <f>IFERROR(__xludf.DUMMYFUNCTION("""COMPUTED_VALUE"""),213596.474)</f>
        <v>213596.474</v>
      </c>
    </row>
    <row r="284">
      <c r="A284" s="2">
        <f>IFERROR(__xludf.DUMMYFUNCTION("""COMPUTED_VALUE"""),46159.99861111111)</f>
        <v>46159.99861</v>
      </c>
      <c r="B284" s="3">
        <f>IFERROR(__xludf.DUMMYFUNCTION("""COMPUTED_VALUE"""),209206.6913)</f>
        <v>209206.6913</v>
      </c>
    </row>
    <row r="285">
      <c r="A285" s="2">
        <f>IFERROR(__xludf.DUMMYFUNCTION("""COMPUTED_VALUE"""),46160.99861111111)</f>
        <v>46160.99861</v>
      </c>
      <c r="B285" s="3">
        <f>IFERROR(__xludf.DUMMYFUNCTION("""COMPUTED_VALUE"""),203788.0535)</f>
        <v>203788.0535</v>
      </c>
    </row>
    <row r="286">
      <c r="A286" s="2">
        <f>IFERROR(__xludf.DUMMYFUNCTION("""COMPUTED_VALUE"""),46161.99861111111)</f>
        <v>46161.99861</v>
      </c>
      <c r="B286" s="3">
        <f>IFERROR(__xludf.DUMMYFUNCTION("""COMPUTED_VALUE"""),205591.9894)</f>
        <v>205591.9894</v>
      </c>
    </row>
    <row r="287">
      <c r="A287" s="2">
        <f>IFERROR(__xludf.DUMMYFUNCTION("""COMPUTED_VALUE"""),46162.99861111111)</f>
        <v>46162.99861</v>
      </c>
      <c r="B287" s="3">
        <f>IFERROR(__xludf.DUMMYFUNCTION("""COMPUTED_VALUE"""),203592.0523)</f>
        <v>203592.0523</v>
      </c>
    </row>
    <row r="288">
      <c r="A288" s="2">
        <f>IFERROR(__xludf.DUMMYFUNCTION("""COMPUTED_VALUE"""),46163.99861111111)</f>
        <v>46163.99861</v>
      </c>
      <c r="B288" s="3">
        <f>IFERROR(__xludf.DUMMYFUNCTION("""COMPUTED_VALUE"""),206072.3276)</f>
        <v>206072.3276</v>
      </c>
    </row>
    <row r="289">
      <c r="A289" s="2">
        <f>IFERROR(__xludf.DUMMYFUNCTION("""COMPUTED_VALUE"""),46164.99861111111)</f>
        <v>46164.99861</v>
      </c>
      <c r="B289" s="3">
        <f>IFERROR(__xludf.DUMMYFUNCTION("""COMPUTED_VALUE"""),204319.3238)</f>
        <v>204319.3238</v>
      </c>
    </row>
    <row r="290">
      <c r="A290" s="2">
        <f>IFERROR(__xludf.DUMMYFUNCTION("""COMPUTED_VALUE"""),46165.99861111111)</f>
        <v>46165.99861</v>
      </c>
      <c r="B290" s="3">
        <f>IFERROR(__xludf.DUMMYFUNCTION("""COMPUTED_VALUE"""),197790.7661)</f>
        <v>197790.7661</v>
      </c>
    </row>
    <row r="291">
      <c r="A291" s="2">
        <f>IFERROR(__xludf.DUMMYFUNCTION("""COMPUTED_VALUE"""),46166.99861111111)</f>
        <v>46166.99861</v>
      </c>
      <c r="B291" s="3">
        <f>IFERROR(__xludf.DUMMYFUNCTION("""COMPUTED_VALUE"""),202538.4023)</f>
        <v>202538.4023</v>
      </c>
    </row>
    <row r="292">
      <c r="A292" s="2">
        <f>IFERROR(__xludf.DUMMYFUNCTION("""COMPUTED_VALUE"""),46167.99861111111)</f>
        <v>46167.99861</v>
      </c>
      <c r="B292" s="3">
        <f>IFERROR(__xludf.DUMMYFUNCTION("""COMPUTED_VALUE"""),199360.7751)</f>
        <v>199360.7751</v>
      </c>
    </row>
    <row r="293">
      <c r="A293" s="2">
        <f>IFERROR(__xludf.DUMMYFUNCTION("""COMPUTED_VALUE"""),46168.99861111111)</f>
        <v>46168.99861</v>
      </c>
      <c r="B293" s="3">
        <f>IFERROR(__xludf.DUMMYFUNCTION("""COMPUTED_VALUE"""),200407.1388)</f>
        <v>200407.1388</v>
      </c>
    </row>
    <row r="294">
      <c r="A294" s="2">
        <f>IFERROR(__xludf.DUMMYFUNCTION("""COMPUTED_VALUE"""),46169.99861111111)</f>
        <v>46169.99861</v>
      </c>
      <c r="B294" s="3">
        <f>IFERROR(__xludf.DUMMYFUNCTION("""COMPUTED_VALUE"""),198408.4176)</f>
        <v>198408.4176</v>
      </c>
    </row>
    <row r="295">
      <c r="A295" s="2">
        <f>IFERROR(__xludf.DUMMYFUNCTION("""COMPUTED_VALUE"""),46170.99861111111)</f>
        <v>46170.99861</v>
      </c>
      <c r="B295" s="3">
        <f>IFERROR(__xludf.DUMMYFUNCTION("""COMPUTED_VALUE"""),189648.1573)</f>
        <v>189648.1573</v>
      </c>
    </row>
    <row r="296">
      <c r="A296" s="2">
        <f>IFERROR(__xludf.DUMMYFUNCTION("""COMPUTED_VALUE"""),46171.99861111111)</f>
        <v>46171.99861</v>
      </c>
      <c r="B296" s="3">
        <f>IFERROR(__xludf.DUMMYFUNCTION("""COMPUTED_VALUE"""),189887.1581)</f>
        <v>189887.1581</v>
      </c>
    </row>
    <row r="297">
      <c r="A297" s="2">
        <f>IFERROR(__xludf.DUMMYFUNCTION("""COMPUTED_VALUE"""),46172.99861111111)</f>
        <v>46172.99861</v>
      </c>
      <c r="B297" s="3">
        <f>IFERROR(__xludf.DUMMYFUNCTION("""COMPUTED_VALUE"""),191274.8601)</f>
        <v>191274.8601</v>
      </c>
    </row>
    <row r="298">
      <c r="A298" s="2">
        <f>IFERROR(__xludf.DUMMYFUNCTION("""COMPUTED_VALUE"""),46173.99861111111)</f>
        <v>46173.99861</v>
      </c>
      <c r="B298" s="3">
        <f>IFERROR(__xludf.DUMMYFUNCTION("""COMPUTED_VALUE"""),192781.8442)</f>
        <v>192781.8442</v>
      </c>
    </row>
    <row r="299">
      <c r="A299" s="2">
        <f>IFERROR(__xludf.DUMMYFUNCTION("""COMPUTED_VALUE"""),46174.99861111111)</f>
        <v>46174.99861</v>
      </c>
      <c r="B299" s="3">
        <f>IFERROR(__xludf.DUMMYFUNCTION("""COMPUTED_VALUE"""),191587.4644)</f>
        <v>191587.4644</v>
      </c>
    </row>
    <row r="300">
      <c r="A300" s="2">
        <f>IFERROR(__xludf.DUMMYFUNCTION("""COMPUTED_VALUE"""),46175.99861111111)</f>
        <v>46175.99861</v>
      </c>
      <c r="B300" s="3">
        <f>IFERROR(__xludf.DUMMYFUNCTION("""COMPUTED_VALUE"""),190506.8602)</f>
        <v>190506.8602</v>
      </c>
    </row>
    <row r="301">
      <c r="A301" s="2">
        <f>IFERROR(__xludf.DUMMYFUNCTION("""COMPUTED_VALUE"""),46176.99861111111)</f>
        <v>46176.99861</v>
      </c>
      <c r="B301" s="3">
        <f>IFERROR(__xludf.DUMMYFUNCTION("""COMPUTED_VALUE"""),175424.9761)</f>
        <v>175424.9761</v>
      </c>
    </row>
    <row r="302">
      <c r="A302" s="2">
        <f>IFERROR(__xludf.DUMMYFUNCTION("""COMPUTED_VALUE"""),46177.99861111111)</f>
        <v>46177.99861</v>
      </c>
      <c r="B302" s="3">
        <f>IFERROR(__xludf.DUMMYFUNCTION("""COMPUTED_VALUE"""),172950.5896)</f>
        <v>172950.5896</v>
      </c>
    </row>
    <row r="303">
      <c r="A303" s="2">
        <f>IFERROR(__xludf.DUMMYFUNCTION("""COMPUTED_VALUE"""),46178.99861111111)</f>
        <v>46178.99861</v>
      </c>
      <c r="B303" s="3">
        <f>IFERROR(__xludf.DUMMYFUNCTION("""COMPUTED_VALUE"""),164814.0146)</f>
        <v>164814.0146</v>
      </c>
    </row>
    <row r="304">
      <c r="A304" s="2">
        <f>IFERROR(__xludf.DUMMYFUNCTION("""COMPUTED_VALUE"""),46179.99861111111)</f>
        <v>46179.99861</v>
      </c>
      <c r="B304" s="3">
        <f>IFERROR(__xludf.DUMMYFUNCTION("""COMPUTED_VALUE"""),148379.7022)</f>
        <v>148379.7022</v>
      </c>
    </row>
    <row r="305">
      <c r="A305" s="2">
        <f>IFERROR(__xludf.DUMMYFUNCTION("""COMPUTED_VALUE"""),46180.99861111111)</f>
        <v>46180.99861</v>
      </c>
      <c r="B305" s="3">
        <f>IFERROR(__xludf.DUMMYFUNCTION("""COMPUTED_VALUE"""),151304.7961)</f>
        <v>151304.7961</v>
      </c>
    </row>
    <row r="306">
      <c r="A306" s="2">
        <f>IFERROR(__xludf.DUMMYFUNCTION("""COMPUTED_VALUE"""),46181.99861111111)</f>
        <v>46181.99861</v>
      </c>
      <c r="B306" s="3">
        <f>IFERROR(__xludf.DUMMYFUNCTION("""COMPUTED_VALUE"""),160570.3334)</f>
        <v>160570.3334</v>
      </c>
    </row>
    <row r="307">
      <c r="A307" s="2">
        <f>IFERROR(__xludf.DUMMYFUNCTION("""COMPUTED_VALUE"""),46182.99861111111)</f>
        <v>46182.99861</v>
      </c>
      <c r="B307" s="3">
        <f>IFERROR(__xludf.DUMMYFUNCTION("""COMPUTED_VALUE"""),159039.3401)</f>
        <v>159039.3401</v>
      </c>
    </row>
    <row r="308">
      <c r="A308" s="2">
        <f>IFERROR(__xludf.DUMMYFUNCTION("""COMPUTED_VALUE"""),46183.99861111111)</f>
        <v>46183.99861</v>
      </c>
      <c r="B308" s="3">
        <f>IFERROR(__xludf.DUMMYFUNCTION("""COMPUTED_VALUE"""),155769.0104)</f>
        <v>155769.0104</v>
      </c>
    </row>
    <row r="309">
      <c r="A309" s="2">
        <f>IFERROR(__xludf.DUMMYFUNCTION("""COMPUTED_VALUE"""),46184.99861111111)</f>
        <v>46184.99861</v>
      </c>
      <c r="B309" s="3">
        <f>IFERROR(__xludf.DUMMYFUNCTION("""COMPUTED_VALUE"""),158149.5062)</f>
        <v>158149.5062</v>
      </c>
    </row>
    <row r="310">
      <c r="A310" s="2">
        <f>IFERROR(__xludf.DUMMYFUNCTION("""COMPUTED_VALUE"""),46185.99861111111)</f>
        <v>46185.99861</v>
      </c>
      <c r="B310" s="3">
        <f>IFERROR(__xludf.DUMMYFUNCTION("""COMPUTED_VALUE"""),158967.562)</f>
        <v>158967.562</v>
      </c>
    </row>
    <row r="311">
      <c r="A311" s="2">
        <f>IFERROR(__xludf.DUMMYFUNCTION("""COMPUTED_VALUE"""),46186.99861111111)</f>
        <v>46186.99861</v>
      </c>
      <c r="B311" s="3">
        <f>IFERROR(__xludf.DUMMYFUNCTION("""COMPUTED_VALUE"""),158208.2348)</f>
        <v>158208.2348</v>
      </c>
    </row>
    <row r="312">
      <c r="A312" s="2">
        <f>IFERROR(__xludf.DUMMYFUNCTION("""COMPUTED_VALUE"""),46187.99861111111)</f>
        <v>46187.99861</v>
      </c>
      <c r="B312" s="3">
        <f>IFERROR(__xludf.DUMMYFUNCTION("""COMPUTED_VALUE"""),159778.9908)</f>
        <v>159778.9908</v>
      </c>
    </row>
    <row r="313">
      <c r="A313" s="2">
        <f>IFERROR(__xludf.DUMMYFUNCTION("""COMPUTED_VALUE"""),46188.99861111111)</f>
        <v>46188.99861</v>
      </c>
      <c r="B313" s="3">
        <f>IFERROR(__xludf.DUMMYFUNCTION("""COMPUTED_VALUE"""),162958.7429)</f>
        <v>162958.7429</v>
      </c>
    </row>
    <row r="314">
      <c r="A314" s="2">
        <f>IFERROR(__xludf.DUMMYFUNCTION("""COMPUTED_VALUE"""),46189.99861111111)</f>
        <v>46189.99861</v>
      </c>
      <c r="B314" s="3">
        <f>IFERROR(__xludf.DUMMYFUNCTION("""COMPUTED_VALUE"""),168562.265)</f>
        <v>168562.265</v>
      </c>
    </row>
    <row r="315">
      <c r="A315" s="2">
        <f>IFERROR(__xludf.DUMMYFUNCTION("""COMPUTED_VALUE"""),46190.99861111111)</f>
        <v>46190.99861</v>
      </c>
      <c r="B315" s="3">
        <f>IFERROR(__xludf.DUMMYFUNCTION("""COMPUTED_VALUE"""),169962.4845)</f>
        <v>169962.4845</v>
      </c>
    </row>
    <row r="316">
      <c r="A316" s="2">
        <f>IFERROR(__xludf.DUMMYFUNCTION("""COMPUTED_VALUE"""),46191.99861111111)</f>
        <v>46191.99861</v>
      </c>
      <c r="B316" s="3">
        <f>IFERROR(__xludf.DUMMYFUNCTION("""COMPUTED_VALUE"""),164294.0826)</f>
        <v>164294.0826</v>
      </c>
    </row>
    <row r="317">
      <c r="A317" s="2">
        <f>IFERROR(__xludf.DUMMYFUNCTION("""COMPUTED_VALUE"""),46192.99861111111)</f>
        <v>46192.99861</v>
      </c>
      <c r="B317" s="3">
        <f>IFERROR(__xludf.DUMMYFUNCTION("""COMPUTED_VALUE"""),159802.9633)</f>
        <v>159802.9633</v>
      </c>
    </row>
    <row r="318">
      <c r="A318" s="2">
        <f>IFERROR(__xludf.DUMMYFUNCTION("""COMPUTED_VALUE"""),46193.99861111111)</f>
        <v>46193.99861</v>
      </c>
      <c r="B318" s="3">
        <f>IFERROR(__xludf.DUMMYFUNCTION("""COMPUTED_VALUE"""),160910.1807)</f>
        <v>160910.1807</v>
      </c>
    </row>
    <row r="319">
      <c r="A319" s="2">
        <f>IFERROR(__xludf.DUMMYFUNCTION("""COMPUTED_VALUE"""),46194.99861111111)</f>
        <v>46194.99861</v>
      </c>
      <c r="B319" s="3">
        <f>IFERROR(__xludf.DUMMYFUNCTION("""COMPUTED_VALUE"""),163709.4352)</f>
        <v>163709.4352</v>
      </c>
    </row>
    <row r="320">
      <c r="A320" s="2">
        <f>IFERROR(__xludf.DUMMYFUNCTION("""COMPUTED_VALUE"""),46195.99861111111)</f>
        <v>46195.99861</v>
      </c>
      <c r="B320" s="3">
        <f>IFERROR(__xludf.DUMMYFUNCTION("""COMPUTED_VALUE"""),163534.083)</f>
        <v>163534.083</v>
      </c>
    </row>
    <row r="321">
      <c r="A321" s="2">
        <f>IFERROR(__xludf.DUMMYFUNCTION("""COMPUTED_VALUE"""),46196.99861111111)</f>
        <v>46196.99861</v>
      </c>
      <c r="B321" s="3">
        <f>IFERROR(__xludf.DUMMYFUNCTION("""COMPUTED_VALUE"""),164433.9502)</f>
        <v>164433.9502</v>
      </c>
    </row>
    <row r="322">
      <c r="A322" s="2">
        <f>IFERROR(__xludf.DUMMYFUNCTION("""COMPUTED_VALUE"""),46197.99861111111)</f>
        <v>46197.99861</v>
      </c>
      <c r="B322" s="3">
        <f>IFERROR(__xludf.DUMMYFUNCTION("""COMPUTED_VALUE"""),157147.0612)</f>
        <v>157147.0612</v>
      </c>
    </row>
    <row r="323">
      <c r="A323" s="2">
        <f>IFERROR(__xludf.DUMMYFUNCTION("""COMPUTED_VALUE"""),46198.99861111111)</f>
        <v>46198.99861</v>
      </c>
      <c r="B323" s="3">
        <f>IFERROR(__xludf.DUMMYFUNCTION("""COMPUTED_VALUE"""),152602.6357)</f>
        <v>152602.6357</v>
      </c>
    </row>
    <row r="324">
      <c r="A324" s="2">
        <f>IFERROR(__xludf.DUMMYFUNCTION("""COMPUTED_VALUE"""),46199.99861111111)</f>
        <v>46199.99861</v>
      </c>
      <c r="B324" s="3">
        <f>IFERROR(__xludf.DUMMYFUNCTION("""COMPUTED_VALUE"""),146702.7939)</f>
        <v>146702.7939</v>
      </c>
    </row>
    <row r="325">
      <c r="A325" s="2">
        <f>IFERROR(__xludf.DUMMYFUNCTION("""COMPUTED_VALUE"""),46200.99861111111)</f>
        <v>46200.99861</v>
      </c>
      <c r="B325" s="3">
        <f>IFERROR(__xludf.DUMMYFUNCTION("""COMPUTED_VALUE"""),148845.9273)</f>
        <v>148845.9273</v>
      </c>
    </row>
    <row r="326">
      <c r="A326" s="2">
        <f>IFERROR(__xludf.DUMMYFUNCTION("""COMPUTED_VALUE"""),46201.99861111111)</f>
        <v>46201.99861</v>
      </c>
      <c r="B326" s="3">
        <f>IFERROR(__xludf.DUMMYFUNCTION("""COMPUTED_VALUE"""),148317.7289)</f>
        <v>148317.7289</v>
      </c>
    </row>
    <row r="327">
      <c r="A327" s="2">
        <f>IFERROR(__xludf.DUMMYFUNCTION("""COMPUTED_VALUE"""),46202.99861111111)</f>
        <v>46202.99861</v>
      </c>
      <c r="B327" s="3">
        <f>IFERROR(__xludf.DUMMYFUNCTION("""COMPUTED_VALUE"""),149891.4455)</f>
        <v>149891.4455</v>
      </c>
    </row>
    <row r="328">
      <c r="A328" s="2">
        <f>IFERROR(__xludf.DUMMYFUNCTION("""COMPUTED_VALUE"""),46203.99861111111)</f>
        <v>46203.99861</v>
      </c>
      <c r="B328" s="3">
        <f>IFERROR(__xludf.DUMMYFUNCTION("""COMPUTED_VALUE"""),150318.5302)</f>
        <v>150318.5302</v>
      </c>
    </row>
    <row r="329">
      <c r="A329" s="2">
        <f>IFERROR(__xludf.DUMMYFUNCTION("""COMPUTED_VALUE"""),46204.99861111111)</f>
        <v>46204.99861</v>
      </c>
      <c r="B329" s="3">
        <f>IFERROR(__xludf.DUMMYFUNCTION("""COMPUTED_VALUE"""),151866.7911)</f>
        <v>151866.7911</v>
      </c>
    </row>
    <row r="330">
      <c r="A330" s="2">
        <f>IFERROR(__xludf.DUMMYFUNCTION("""COMPUTED_VALUE"""),46205.99861111111)</f>
        <v>46205.99861</v>
      </c>
      <c r="B330" s="3">
        <f>IFERROR(__xludf.DUMMYFUNCTION("""COMPUTED_VALUE"""),156392.5845)</f>
        <v>156392.5845</v>
      </c>
    </row>
    <row r="331">
      <c r="A331" s="2">
        <f>IFERROR(__xludf.DUMMYFUNCTION("""COMPUTED_VALUE"""),46206.99861111111)</f>
        <v>46206.99861</v>
      </c>
      <c r="B331" s="3">
        <f>IFERROR(__xludf.DUMMYFUNCTION("""COMPUTED_VALUE"""),162742.1249)</f>
        <v>162742.1249</v>
      </c>
    </row>
    <row r="332">
      <c r="A332" s="2">
        <f>IFERROR(__xludf.DUMMYFUNCTION("""COMPUTED_VALUE"""),46207.99861111111)</f>
        <v>46207.99861</v>
      </c>
      <c r="B332" s="3">
        <f>IFERROR(__xludf.DUMMYFUNCTION("""COMPUTED_VALUE"""),166715.8529)</f>
        <v>166715.8529</v>
      </c>
    </row>
    <row r="333">
      <c r="A333" s="2">
        <f>IFERROR(__xludf.DUMMYFUNCTION("""COMPUTED_VALUE"""),46208.99861111111)</f>
        <v>46208.99861</v>
      </c>
      <c r="B333" s="3">
        <f>IFERROR(__xludf.DUMMYFUNCTION("""COMPUTED_VALUE"""),167487.5406)</f>
        <v>167487.5406</v>
      </c>
    </row>
    <row r="334">
      <c r="A334" s="2">
        <f>IFERROR(__xludf.DUMMYFUNCTION("""COMPUTED_VALUE"""),46209.99861111111)</f>
        <v>46209.99861</v>
      </c>
      <c r="B334" s="3">
        <f>IFERROR(__xludf.DUMMYFUNCTION("""COMPUTED_VALUE"""),169871.0477)</f>
        <v>169871.0477</v>
      </c>
    </row>
    <row r="335">
      <c r="A335" s="2">
        <f>IFERROR(__xludf.DUMMYFUNCTION("""COMPUTED_VALUE"""),46210.99861111111)</f>
        <v>46210.99861</v>
      </c>
      <c r="B335" s="3">
        <f>IFERROR(__xludf.DUMMYFUNCTION("""COMPUTED_VALUE"""),169236.959)</f>
        <v>169236.959</v>
      </c>
    </row>
    <row r="336">
      <c r="A336" s="2">
        <f>IFERROR(__xludf.DUMMYFUNCTION("""COMPUTED_VALUE"""),46211.99861111111)</f>
        <v>46211.99861</v>
      </c>
      <c r="B336" s="3">
        <f>IFERROR(__xludf.DUMMYFUNCTION("""COMPUTED_VALUE"""),167683.5191)</f>
        <v>167683.5191</v>
      </c>
    </row>
    <row r="337">
      <c r="A337" s="2">
        <f>IFERROR(__xludf.DUMMYFUNCTION("""COMPUTED_VALUE"""),46212.99861111111)</f>
        <v>46212.99861</v>
      </c>
      <c r="B337" s="3">
        <f>IFERROR(__xludf.DUMMYFUNCTION("""COMPUTED_VALUE"""),164836.1218)</f>
        <v>164836.1218</v>
      </c>
    </row>
    <row r="338">
      <c r="A338" s="2">
        <f>IFERROR(__xludf.DUMMYFUNCTION("""COMPUTED_VALUE"""),46213.99861111111)</f>
        <v>46213.99861</v>
      </c>
      <c r="B338" s="3">
        <f>IFERROR(__xludf.DUMMYFUNCTION("""COMPUTED_VALUE"""),169033.2576)</f>
        <v>169033.2576</v>
      </c>
    </row>
    <row r="339">
      <c r="A339" s="2">
        <f>IFERROR(__xludf.DUMMYFUNCTION("""COMPUTED_VALUE"""),46214.99861111111)</f>
        <v>46214.99861</v>
      </c>
      <c r="B339" s="3">
        <f>IFERROR(__xludf.DUMMYFUNCTION("""COMPUTED_VALUE"""),171045.1092)</f>
        <v>171045.1092</v>
      </c>
    </row>
    <row r="340">
      <c r="A340" s="2">
        <f>IFERROR(__xludf.DUMMYFUNCTION("""COMPUTED_VALUE"""),46215.99861111111)</f>
        <v>46215.99861</v>
      </c>
      <c r="B340" s="3">
        <f>IFERROR(__xludf.DUMMYFUNCTION("""COMPUTED_VALUE"""),172444.4449)</f>
        <v>172444.4449</v>
      </c>
    </row>
    <row r="341">
      <c r="A341" s="2">
        <f>IFERROR(__xludf.DUMMYFUNCTION("""COMPUTED_VALUE"""),46216.99861111111)</f>
        <v>46216.99861</v>
      </c>
      <c r="B341" s="3">
        <f>IFERROR(__xludf.DUMMYFUNCTION("""COMPUTED_VALUE"""),171033.3495)</f>
        <v>171033.3495</v>
      </c>
    </row>
    <row r="342">
      <c r="A342" s="2">
        <f>IFERROR(__xludf.DUMMYFUNCTION("""COMPUTED_VALUE"""),46217.99861111111)</f>
        <v>46217.99861</v>
      </c>
      <c r="B342" s="3">
        <f>IFERROR(__xludf.DUMMYFUNCTION("""COMPUTED_VALUE"""),171697.2998)</f>
        <v>171697.2998</v>
      </c>
    </row>
    <row r="343">
      <c r="A343" s="2">
        <f>IFERROR(__xludf.DUMMYFUNCTION("""COMPUTED_VALUE"""),46218.99861111111)</f>
        <v>46218.99861</v>
      </c>
      <c r="B343" s="3">
        <f>IFERROR(__xludf.DUMMYFUNCTION("""COMPUTED_VALUE"""),180860.6498)</f>
        <v>180860.6498</v>
      </c>
    </row>
    <row r="344">
      <c r="A344" s="2">
        <f>IFERROR(__xludf.DUMMYFUNCTION("""COMPUTED_VALUE"""),46219.99861111111)</f>
        <v>46219.99861</v>
      </c>
      <c r="B344" s="3">
        <f>IFERROR(__xludf.DUMMYFUNCTION("""COMPUTED_VALUE"""),185205.3626)</f>
        <v>185205.3626</v>
      </c>
    </row>
    <row r="345">
      <c r="A345" s="2">
        <f>IFERROR(__xludf.DUMMYFUNCTION("""COMPUTED_VALUE"""),46220.99861111111)</f>
        <v>46220.99861</v>
      </c>
      <c r="B345" s="3">
        <f>IFERROR(__xludf.DUMMYFUNCTION("""COMPUTED_VALUE"""),178510.8523)</f>
        <v>178510.8523</v>
      </c>
    </row>
    <row r="346">
      <c r="A346" s="2">
        <f>IFERROR(__xludf.DUMMYFUNCTION("""COMPUTED_VALUE"""),46221.99861111111)</f>
        <v>46221.99861</v>
      </c>
      <c r="B346" s="3">
        <f>IFERROR(__xludf.DUMMYFUNCTION("""COMPUTED_VALUE"""),177494.9418)</f>
        <v>177494.9418</v>
      </c>
    </row>
    <row r="347">
      <c r="A347" s="2">
        <f>IFERROR(__xludf.DUMMYFUNCTION("""COMPUTED_VALUE"""),46222.99861111111)</f>
        <v>46222.99861</v>
      </c>
      <c r="B347" s="3">
        <f>IFERROR(__xludf.DUMMYFUNCTION("""COMPUTED_VALUE"""),179579.4575)</f>
        <v>179579.4575</v>
      </c>
    </row>
    <row r="348">
      <c r="A348" s="2">
        <f>IFERROR(__xludf.DUMMYFUNCTION("""COMPUTED_VALUE"""),46223.99861111111)</f>
        <v>46223.99861</v>
      </c>
      <c r="B348" s="3">
        <f>IFERROR(__xludf.DUMMYFUNCTION("""COMPUTED_VALUE"""),181113.3657)</f>
        <v>181113.3657</v>
      </c>
    </row>
    <row r="349">
      <c r="A349" s="2">
        <f>IFERROR(__xludf.DUMMYFUNCTION("""COMPUTED_VALUE"""),46224.99861111111)</f>
        <v>46224.99861</v>
      </c>
      <c r="B349" s="3">
        <f>IFERROR(__xludf.DUMMYFUNCTION("""COMPUTED_VALUE"""),185441.6753)</f>
        <v>185441.6753</v>
      </c>
    </row>
    <row r="350">
      <c r="A350" s="2">
        <f>IFERROR(__xludf.DUMMYFUNCTION("""COMPUTED_VALUE"""),46225.99861111111)</f>
        <v>46225.99861</v>
      </c>
      <c r="B350" s="3">
        <f>IFERROR(__xludf.DUMMYFUNCTION("""COMPUTED_VALUE"""),185899.8054)</f>
        <v>185899.8054</v>
      </c>
    </row>
    <row r="351">
      <c r="A351" s="2">
        <f>IFERROR(__xludf.DUMMYFUNCTION("""COMPUTED_VALUE"""),46226.99861111111)</f>
        <v>46226.99861</v>
      </c>
      <c r="B351" s="3">
        <f>IFERROR(__xludf.DUMMYFUNCTION("""COMPUTED_VALUE"""),185781.9274)</f>
        <v>185781.9274</v>
      </c>
    </row>
    <row r="352">
      <c r="A352" s="2">
        <f>IFERROR(__xludf.DUMMYFUNCTION("""COMPUTED_VALUE"""),46227.99861111111)</f>
        <v>46227.99861</v>
      </c>
      <c r="B352" s="3">
        <f>IFERROR(__xludf.DUMMYFUNCTION("""COMPUTED_VALUE"""),181084.4157)</f>
        <v>181084.4157</v>
      </c>
    </row>
    <row r="353">
      <c r="A353" s="2">
        <f>IFERROR(__xludf.DUMMYFUNCTION("""COMPUTED_VALUE"""),46228.99861111111)</f>
        <v>46228.99861</v>
      </c>
      <c r="B353" s="3">
        <f>IFERROR(__xludf.DUMMYFUNCTION("""COMPUTED_VALUE"""),179324.7683)</f>
        <v>179324.7683</v>
      </c>
    </row>
    <row r="354">
      <c r="A354" s="2">
        <f>IFERROR(__xludf.DUMMYFUNCTION("""COMPUTED_VALUE"""),46229.99861111111)</f>
        <v>46229.99861</v>
      </c>
      <c r="B354" s="3">
        <f>IFERROR(__xludf.DUMMYFUNCTION("""COMPUTED_VALUE"""),181474.292)</f>
        <v>181474.292</v>
      </c>
    </row>
    <row r="355">
      <c r="A355" s="2">
        <f>IFERROR(__xludf.DUMMYFUNCTION("""COMPUTED_VALUE"""),46230.99861111111)</f>
        <v>46230.99861</v>
      </c>
      <c r="B355" s="3">
        <f>IFERROR(__xludf.DUMMYFUNCTION("""COMPUTED_VALUE"""),186476.7164)</f>
        <v>186476.7164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IFERROR(__xludf.DUMMYFUNCTION("GOOGLEFINANCE(""CURRENCY:SOLINR"", ""price"", DATE(2025,7,28), DATE(2026,7,28), ""DAILY"")"),"Date")</f>
        <v>Date</v>
      </c>
      <c r="B1" s="1" t="str">
        <f>IFERROR(__xludf.DUMMYFUNCTION("""COMPUTED_VALUE"""),"Close")</f>
        <v>Close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f>IFERROR(__xludf.DUMMYFUNCTION("""COMPUTED_VALUE"""),45866.99861111111)</f>
        <v>45866.99861</v>
      </c>
      <c r="B2" s="3">
        <f>IFERROR(__xludf.DUMMYFUNCTION("""COMPUTED_VALUE"""),16378.28273)</f>
        <v>16378.28273</v>
      </c>
    </row>
    <row r="3">
      <c r="A3" s="2">
        <f>IFERROR(__xludf.DUMMYFUNCTION("""COMPUTED_VALUE"""),45867.99861111111)</f>
        <v>45867.99861</v>
      </c>
      <c r="B3" s="3">
        <f>IFERROR(__xludf.DUMMYFUNCTION("""COMPUTED_VALUE"""),15901.19672)</f>
        <v>15901.19672</v>
      </c>
    </row>
    <row r="4">
      <c r="A4" s="2">
        <f>IFERROR(__xludf.DUMMYFUNCTION("""COMPUTED_VALUE"""),45868.99861111111)</f>
        <v>45868.99861</v>
      </c>
      <c r="B4" s="3">
        <f>IFERROR(__xludf.DUMMYFUNCTION("""COMPUTED_VALUE"""),15906.72693)</f>
        <v>15906.72693</v>
      </c>
    </row>
    <row r="5">
      <c r="A5" s="2">
        <f>IFERROR(__xludf.DUMMYFUNCTION("""COMPUTED_VALUE"""),45869.99861111111)</f>
        <v>45869.99861</v>
      </c>
      <c r="B5" s="3">
        <f>IFERROR(__xludf.DUMMYFUNCTION("""COMPUTED_VALUE"""),15546.93637)</f>
        <v>15546.93637</v>
      </c>
    </row>
    <row r="6">
      <c r="A6" s="2">
        <f>IFERROR(__xludf.DUMMYFUNCTION("""COMPUTED_VALUE"""),45870.99861111111)</f>
        <v>45870.99861</v>
      </c>
      <c r="B6" s="3">
        <f>IFERROR(__xludf.DUMMYFUNCTION("""COMPUTED_VALUE"""),15016.83161)</f>
        <v>15016.83161</v>
      </c>
    </row>
    <row r="7">
      <c r="A7" s="2">
        <f>IFERROR(__xludf.DUMMYFUNCTION("""COMPUTED_VALUE"""),45871.99861111111)</f>
        <v>45871.99861</v>
      </c>
      <c r="B7" s="3">
        <f>IFERROR(__xludf.DUMMYFUNCTION("""COMPUTED_VALUE"""),14188.62761)</f>
        <v>14188.62761</v>
      </c>
    </row>
    <row r="8">
      <c r="A8" s="2">
        <f>IFERROR(__xludf.DUMMYFUNCTION("""COMPUTED_VALUE"""),45872.99861111111)</f>
        <v>45872.99861</v>
      </c>
      <c r="B8" s="3">
        <f>IFERROR(__xludf.DUMMYFUNCTION("""COMPUTED_VALUE"""),13826.34723)</f>
        <v>13826.34723</v>
      </c>
    </row>
    <row r="9">
      <c r="A9" s="2">
        <f>IFERROR(__xludf.DUMMYFUNCTION("""COMPUTED_VALUE"""),45873.99861111111)</f>
        <v>45873.99861</v>
      </c>
      <c r="B9" s="3">
        <f>IFERROR(__xludf.DUMMYFUNCTION("""COMPUTED_VALUE"""),14235.40102)</f>
        <v>14235.40102</v>
      </c>
    </row>
    <row r="10">
      <c r="A10" s="2">
        <f>IFERROR(__xludf.DUMMYFUNCTION("""COMPUTED_VALUE"""),45874.99861111111)</f>
        <v>45874.99861</v>
      </c>
      <c r="B10" s="3">
        <f>IFERROR(__xludf.DUMMYFUNCTION("""COMPUTED_VALUE"""),14863.80206)</f>
        <v>14863.80206</v>
      </c>
    </row>
    <row r="11">
      <c r="A11" s="2">
        <f>IFERROR(__xludf.DUMMYFUNCTION("""COMPUTED_VALUE"""),45875.99861111111)</f>
        <v>45875.99861</v>
      </c>
      <c r="B11" s="3">
        <f>IFERROR(__xludf.DUMMYFUNCTION("""COMPUTED_VALUE"""),14401.45764)</f>
        <v>14401.45764</v>
      </c>
    </row>
    <row r="12">
      <c r="A12" s="2">
        <f>IFERROR(__xludf.DUMMYFUNCTION("""COMPUTED_VALUE"""),45876.99861111111)</f>
        <v>45876.99861</v>
      </c>
      <c r="B12" s="3">
        <f>IFERROR(__xludf.DUMMYFUNCTION("""COMPUTED_VALUE"""),14703.68496)</f>
        <v>14703.68496</v>
      </c>
    </row>
    <row r="13">
      <c r="A13" s="2">
        <f>IFERROR(__xludf.DUMMYFUNCTION("""COMPUTED_VALUE"""),45877.99861111111)</f>
        <v>45877.99861</v>
      </c>
      <c r="B13" s="3">
        <f>IFERROR(__xludf.DUMMYFUNCTION("""COMPUTED_VALUE"""),15386.3756)</f>
        <v>15386.3756</v>
      </c>
    </row>
    <row r="14">
      <c r="A14" s="2">
        <f>IFERROR(__xludf.DUMMYFUNCTION("""COMPUTED_VALUE"""),45878.99861111111)</f>
        <v>45878.99861</v>
      </c>
      <c r="B14" s="3">
        <f>IFERROR(__xludf.DUMMYFUNCTION("""COMPUTED_VALUE"""),15499.05034)</f>
        <v>15499.05034</v>
      </c>
    </row>
    <row r="15">
      <c r="A15" s="2">
        <f>IFERROR(__xludf.DUMMYFUNCTION("""COMPUTED_VALUE"""),45879.99861111111)</f>
        <v>45879.99861</v>
      </c>
      <c r="B15" s="3">
        <f>IFERROR(__xludf.DUMMYFUNCTION("""COMPUTED_VALUE"""),15763.45816)</f>
        <v>15763.45816</v>
      </c>
    </row>
    <row r="16">
      <c r="A16" s="2">
        <f>IFERROR(__xludf.DUMMYFUNCTION("""COMPUTED_VALUE"""),45880.99861111111)</f>
        <v>45880.99861</v>
      </c>
      <c r="B16" s="3">
        <f>IFERROR(__xludf.DUMMYFUNCTION("""COMPUTED_VALUE"""),16031.80323)</f>
        <v>16031.80323</v>
      </c>
    </row>
    <row r="17">
      <c r="A17" s="2">
        <f>IFERROR(__xludf.DUMMYFUNCTION("""COMPUTED_VALUE"""),45881.99861111111)</f>
        <v>45881.99861</v>
      </c>
      <c r="B17" s="3">
        <f>IFERROR(__xludf.DUMMYFUNCTION("""COMPUTED_VALUE"""),15325.9364)</f>
        <v>15325.9364</v>
      </c>
    </row>
    <row r="18">
      <c r="A18" s="2">
        <f>IFERROR(__xludf.DUMMYFUNCTION("""COMPUTED_VALUE"""),45882.99861111111)</f>
        <v>45882.99861</v>
      </c>
      <c r="B18" s="3">
        <f>IFERROR(__xludf.DUMMYFUNCTION("""COMPUTED_VALUE"""),16774.69398)</f>
        <v>16774.69398</v>
      </c>
    </row>
    <row r="19">
      <c r="A19" s="2">
        <f>IFERROR(__xludf.DUMMYFUNCTION("""COMPUTED_VALUE"""),45883.99861111111)</f>
        <v>45883.99861</v>
      </c>
      <c r="B19" s="3">
        <f>IFERROR(__xludf.DUMMYFUNCTION("""COMPUTED_VALUE"""),17683.46362)</f>
        <v>17683.46362</v>
      </c>
    </row>
    <row r="20">
      <c r="A20" s="2">
        <f>IFERROR(__xludf.DUMMYFUNCTION("""COMPUTED_VALUE"""),45884.99861111111)</f>
        <v>45884.99861</v>
      </c>
      <c r="B20" s="3">
        <f>IFERROR(__xludf.DUMMYFUNCTION("""COMPUTED_VALUE"""),16854.63803)</f>
        <v>16854.63803</v>
      </c>
    </row>
    <row r="21">
      <c r="A21" s="2">
        <f>IFERROR(__xludf.DUMMYFUNCTION("""COMPUTED_VALUE"""),45885.99861111111)</f>
        <v>45885.99861</v>
      </c>
      <c r="B21" s="3">
        <f>IFERROR(__xludf.DUMMYFUNCTION("""COMPUTED_VALUE"""),16258.8717)</f>
        <v>16258.8717</v>
      </c>
    </row>
    <row r="22">
      <c r="A22" s="2">
        <f>IFERROR(__xludf.DUMMYFUNCTION("""COMPUTED_VALUE"""),45886.99861111111)</f>
        <v>45886.99861</v>
      </c>
      <c r="B22" s="3">
        <f>IFERROR(__xludf.DUMMYFUNCTION("""COMPUTED_VALUE"""),16606.70021)</f>
        <v>16606.70021</v>
      </c>
    </row>
    <row r="23">
      <c r="A23" s="2">
        <f>IFERROR(__xludf.DUMMYFUNCTION("""COMPUTED_VALUE"""),45887.99861111111)</f>
        <v>45887.99861</v>
      </c>
      <c r="B23" s="3">
        <f>IFERROR(__xludf.DUMMYFUNCTION("""COMPUTED_VALUE"""),16687.78525)</f>
        <v>16687.78525</v>
      </c>
    </row>
    <row r="24">
      <c r="A24" s="2">
        <f>IFERROR(__xludf.DUMMYFUNCTION("""COMPUTED_VALUE"""),45888.99861111111)</f>
        <v>45888.99861</v>
      </c>
      <c r="B24" s="3">
        <f>IFERROR(__xludf.DUMMYFUNCTION("""COMPUTED_VALUE"""),15941.0919)</f>
        <v>15941.0919</v>
      </c>
    </row>
    <row r="25">
      <c r="A25" s="2">
        <f>IFERROR(__xludf.DUMMYFUNCTION("""COMPUTED_VALUE"""),45889.99861111111)</f>
        <v>45889.99861</v>
      </c>
      <c r="B25" s="3">
        <f>IFERROR(__xludf.DUMMYFUNCTION("""COMPUTED_VALUE"""),15326.05436)</f>
        <v>15326.05436</v>
      </c>
    </row>
    <row r="26">
      <c r="A26" s="2">
        <f>IFERROR(__xludf.DUMMYFUNCTION("""COMPUTED_VALUE"""),45890.99861111111)</f>
        <v>45890.99861</v>
      </c>
      <c r="B26" s="3">
        <f>IFERROR(__xludf.DUMMYFUNCTION("""COMPUTED_VALUE"""),16377.20206)</f>
        <v>16377.20206</v>
      </c>
    </row>
    <row r="27">
      <c r="A27" s="2">
        <f>IFERROR(__xludf.DUMMYFUNCTION("""COMPUTED_VALUE"""),45891.99861111111)</f>
        <v>45891.99861</v>
      </c>
      <c r="B27" s="3">
        <f>IFERROR(__xludf.DUMMYFUNCTION("""COMPUTED_VALUE"""),15744.17552)</f>
        <v>15744.17552</v>
      </c>
    </row>
    <row r="28">
      <c r="A28" s="2">
        <f>IFERROR(__xludf.DUMMYFUNCTION("""COMPUTED_VALUE"""),45892.99861111111)</f>
        <v>45892.99861</v>
      </c>
      <c r="B28" s="3">
        <f>IFERROR(__xludf.DUMMYFUNCTION("""COMPUTED_VALUE"""),17522.86929)</f>
        <v>17522.86929</v>
      </c>
    </row>
    <row r="29">
      <c r="A29" s="2">
        <f>IFERROR(__xludf.DUMMYFUNCTION("""COMPUTED_VALUE"""),45893.99861111111)</f>
        <v>45893.99861</v>
      </c>
      <c r="B29" s="3">
        <f>IFERROR(__xludf.DUMMYFUNCTION("""COMPUTED_VALUE"""),17810.70317)</f>
        <v>17810.70317</v>
      </c>
    </row>
    <row r="30">
      <c r="A30" s="2">
        <f>IFERROR(__xludf.DUMMYFUNCTION("""COMPUTED_VALUE"""),45894.99861111111)</f>
        <v>45894.99861</v>
      </c>
      <c r="B30" s="3">
        <f>IFERROR(__xludf.DUMMYFUNCTION("""COMPUTED_VALUE"""),18033.41555)</f>
        <v>18033.41555</v>
      </c>
    </row>
    <row r="31">
      <c r="A31" s="2">
        <f>IFERROR(__xludf.DUMMYFUNCTION("""COMPUTED_VALUE"""),45895.99861111111)</f>
        <v>45895.99861</v>
      </c>
      <c r="B31" s="3">
        <f>IFERROR(__xludf.DUMMYFUNCTION("""COMPUTED_VALUE"""),16406.93658)</f>
        <v>16406.93658</v>
      </c>
    </row>
    <row r="32">
      <c r="A32" s="2">
        <f>IFERROR(__xludf.DUMMYFUNCTION("""COMPUTED_VALUE"""),45896.99861111111)</f>
        <v>45896.99861</v>
      </c>
      <c r="B32" s="3">
        <f>IFERROR(__xludf.DUMMYFUNCTION("""COMPUTED_VALUE"""),17173.09266)</f>
        <v>17173.09266</v>
      </c>
    </row>
    <row r="33">
      <c r="A33" s="2">
        <f>IFERROR(__xludf.DUMMYFUNCTION("""COMPUTED_VALUE"""),45897.99861111111)</f>
        <v>45897.99861</v>
      </c>
      <c r="B33" s="3">
        <f>IFERROR(__xludf.DUMMYFUNCTION("""COMPUTED_VALUE"""),17776.13113)</f>
        <v>17776.13113</v>
      </c>
    </row>
    <row r="34">
      <c r="A34" s="2">
        <f>IFERROR(__xludf.DUMMYFUNCTION("""COMPUTED_VALUE"""),45898.99861111111)</f>
        <v>45898.99861</v>
      </c>
      <c r="B34" s="3">
        <f>IFERROR(__xludf.DUMMYFUNCTION("""COMPUTED_VALUE"""),18904.29965)</f>
        <v>18904.29965</v>
      </c>
    </row>
    <row r="35">
      <c r="A35" s="2">
        <f>IFERROR(__xludf.DUMMYFUNCTION("""COMPUTED_VALUE"""),45899.99861111111)</f>
        <v>45899.99861</v>
      </c>
      <c r="B35" s="3">
        <f>IFERROR(__xludf.DUMMYFUNCTION("""COMPUTED_VALUE"""),18088.2271)</f>
        <v>18088.2271</v>
      </c>
    </row>
    <row r="36">
      <c r="A36" s="2">
        <f>IFERROR(__xludf.DUMMYFUNCTION("""COMPUTED_VALUE"""),45900.99861111111)</f>
        <v>45900.99861</v>
      </c>
      <c r="B36" s="3">
        <f>IFERROR(__xludf.DUMMYFUNCTION("""COMPUTED_VALUE"""),17885.94513)</f>
        <v>17885.94513</v>
      </c>
    </row>
    <row r="37">
      <c r="A37" s="2">
        <f>IFERROR(__xludf.DUMMYFUNCTION("""COMPUTED_VALUE"""),45901.99861111111)</f>
        <v>45901.99861</v>
      </c>
      <c r="B37" s="3">
        <f>IFERROR(__xludf.DUMMYFUNCTION("""COMPUTED_VALUE"""),17676.67401)</f>
        <v>17676.67401</v>
      </c>
    </row>
    <row r="38">
      <c r="A38" s="2">
        <f>IFERROR(__xludf.DUMMYFUNCTION("""COMPUTED_VALUE"""),45902.99861111111)</f>
        <v>45902.99861</v>
      </c>
      <c r="B38" s="3">
        <f>IFERROR(__xludf.DUMMYFUNCTION("""COMPUTED_VALUE"""),17347.09607)</f>
        <v>17347.09607</v>
      </c>
    </row>
    <row r="39">
      <c r="A39" s="2">
        <f>IFERROR(__xludf.DUMMYFUNCTION("""COMPUTED_VALUE"""),45903.99861111111)</f>
        <v>45903.99861</v>
      </c>
      <c r="B39" s="3">
        <f>IFERROR(__xludf.DUMMYFUNCTION("""COMPUTED_VALUE"""),18450.80909)</f>
        <v>18450.80909</v>
      </c>
    </row>
    <row r="40">
      <c r="A40" s="2">
        <f>IFERROR(__xludf.DUMMYFUNCTION("""COMPUTED_VALUE"""),45904.99861111111)</f>
        <v>45904.99861</v>
      </c>
      <c r="B40" s="3">
        <f>IFERROR(__xludf.DUMMYFUNCTION("""COMPUTED_VALUE"""),18587.24456)</f>
        <v>18587.24456</v>
      </c>
    </row>
    <row r="41">
      <c r="A41" s="2">
        <f>IFERROR(__xludf.DUMMYFUNCTION("""COMPUTED_VALUE"""),45905.99861111111)</f>
        <v>45905.99861</v>
      </c>
      <c r="B41" s="3">
        <f>IFERROR(__xludf.DUMMYFUNCTION("""COMPUTED_VALUE"""),17857.37249)</f>
        <v>17857.37249</v>
      </c>
    </row>
    <row r="42">
      <c r="A42" s="2">
        <f>IFERROR(__xludf.DUMMYFUNCTION("""COMPUTED_VALUE"""),45906.99861111111)</f>
        <v>45906.99861</v>
      </c>
      <c r="B42" s="3">
        <f>IFERROR(__xludf.DUMMYFUNCTION("""COMPUTED_VALUE"""),17943.94964)</f>
        <v>17943.94964</v>
      </c>
    </row>
    <row r="43">
      <c r="A43" s="2">
        <f>IFERROR(__xludf.DUMMYFUNCTION("""COMPUTED_VALUE"""),45907.99861111111)</f>
        <v>45907.99861</v>
      </c>
      <c r="B43" s="3">
        <f>IFERROR(__xludf.DUMMYFUNCTION("""COMPUTED_VALUE"""),17657.76331)</f>
        <v>17657.76331</v>
      </c>
    </row>
    <row r="44">
      <c r="A44" s="2">
        <f>IFERROR(__xludf.DUMMYFUNCTION("""COMPUTED_VALUE"""),45908.99861111111)</f>
        <v>45908.99861</v>
      </c>
      <c r="B44" s="3">
        <f>IFERROR(__xludf.DUMMYFUNCTION("""COMPUTED_VALUE"""),18163.11672)</f>
        <v>18163.11672</v>
      </c>
    </row>
    <row r="45">
      <c r="A45" s="2">
        <f>IFERROR(__xludf.DUMMYFUNCTION("""COMPUTED_VALUE"""),45909.99861111111)</f>
        <v>45909.99861</v>
      </c>
      <c r="B45" s="3">
        <f>IFERROR(__xludf.DUMMYFUNCTION("""COMPUTED_VALUE"""),18893.21928)</f>
        <v>18893.21928</v>
      </c>
    </row>
    <row r="46">
      <c r="A46" s="2">
        <f>IFERROR(__xludf.DUMMYFUNCTION("""COMPUTED_VALUE"""),45910.99861111111)</f>
        <v>45910.99861</v>
      </c>
      <c r="B46" s="3">
        <f>IFERROR(__xludf.DUMMYFUNCTION("""COMPUTED_VALUE"""),19126.7306)</f>
        <v>19126.7306</v>
      </c>
    </row>
    <row r="47">
      <c r="A47" s="2">
        <f>IFERROR(__xludf.DUMMYFUNCTION("""COMPUTED_VALUE"""),45911.99861111111)</f>
        <v>45911.99861</v>
      </c>
      <c r="B47" s="3">
        <f>IFERROR(__xludf.DUMMYFUNCTION("""COMPUTED_VALUE"""),19772.13658)</f>
        <v>19772.13658</v>
      </c>
    </row>
    <row r="48">
      <c r="A48" s="2">
        <f>IFERROR(__xludf.DUMMYFUNCTION("""COMPUTED_VALUE"""),45912.99861111111)</f>
        <v>45912.99861</v>
      </c>
      <c r="B48" s="3">
        <f>IFERROR(__xludf.DUMMYFUNCTION("""COMPUTED_VALUE"""),20195.2842)</f>
        <v>20195.2842</v>
      </c>
    </row>
    <row r="49">
      <c r="A49" s="2">
        <f>IFERROR(__xludf.DUMMYFUNCTION("""COMPUTED_VALUE"""),45913.99861111111)</f>
        <v>45913.99861</v>
      </c>
      <c r="B49" s="3">
        <f>IFERROR(__xludf.DUMMYFUNCTION("""COMPUTED_VALUE"""),21386.69997)</f>
        <v>21386.69997</v>
      </c>
    </row>
    <row r="50">
      <c r="A50" s="2">
        <f>IFERROR(__xludf.DUMMYFUNCTION("""COMPUTED_VALUE"""),45914.99861111111)</f>
        <v>45914.99861</v>
      </c>
      <c r="B50" s="3">
        <f>IFERROR(__xludf.DUMMYFUNCTION("""COMPUTED_VALUE"""),21411.80918)</f>
        <v>21411.80918</v>
      </c>
    </row>
    <row r="51">
      <c r="A51" s="2">
        <f>IFERROR(__xludf.DUMMYFUNCTION("""COMPUTED_VALUE"""),45915.99861111111)</f>
        <v>45915.99861</v>
      </c>
      <c r="B51" s="3">
        <f>IFERROR(__xludf.DUMMYFUNCTION("""COMPUTED_VALUE"""),21191.41053)</f>
        <v>21191.41053</v>
      </c>
    </row>
    <row r="52">
      <c r="A52" s="2">
        <f>IFERROR(__xludf.DUMMYFUNCTION("""COMPUTED_VALUE"""),45916.99861111111)</f>
        <v>45916.99861</v>
      </c>
      <c r="B52" s="3">
        <f>IFERROR(__xludf.DUMMYFUNCTION("""COMPUTED_VALUE"""),20599.33291)</f>
        <v>20599.33291</v>
      </c>
    </row>
    <row r="53">
      <c r="A53" s="2">
        <f>IFERROR(__xludf.DUMMYFUNCTION("""COMPUTED_VALUE"""),45917.99861111111)</f>
        <v>45917.99861</v>
      </c>
      <c r="B53" s="3">
        <f>IFERROR(__xludf.DUMMYFUNCTION("""COMPUTED_VALUE"""),20835.0293)</f>
        <v>20835.0293</v>
      </c>
    </row>
    <row r="54">
      <c r="A54" s="2">
        <f>IFERROR(__xludf.DUMMYFUNCTION("""COMPUTED_VALUE"""),45918.99861111111)</f>
        <v>45918.99861</v>
      </c>
      <c r="B54" s="3">
        <f>IFERROR(__xludf.DUMMYFUNCTION("""COMPUTED_VALUE"""),21599.42647)</f>
        <v>21599.42647</v>
      </c>
    </row>
    <row r="55">
      <c r="A55" s="2">
        <f>IFERROR(__xludf.DUMMYFUNCTION("""COMPUTED_VALUE"""),45919.99861111111)</f>
        <v>45919.99861</v>
      </c>
      <c r="B55" s="3">
        <f>IFERROR(__xludf.DUMMYFUNCTION("""COMPUTED_VALUE"""),21815.44272)</f>
        <v>21815.44272</v>
      </c>
    </row>
    <row r="56">
      <c r="A56" s="2">
        <f>IFERROR(__xludf.DUMMYFUNCTION("""COMPUTED_VALUE"""),45920.99861111111)</f>
        <v>45920.99861</v>
      </c>
      <c r="B56" s="3">
        <f>IFERROR(__xludf.DUMMYFUNCTION("""COMPUTED_VALUE"""),21015.5806)</f>
        <v>21015.5806</v>
      </c>
    </row>
    <row r="57">
      <c r="A57" s="2">
        <f>IFERROR(__xludf.DUMMYFUNCTION("""COMPUTED_VALUE"""),45921.99861111111)</f>
        <v>45921.99861</v>
      </c>
      <c r="B57" s="3">
        <f>IFERROR(__xludf.DUMMYFUNCTION("""COMPUTED_VALUE"""),21107.81066)</f>
        <v>21107.81066</v>
      </c>
    </row>
    <row r="58">
      <c r="A58" s="2">
        <f>IFERROR(__xludf.DUMMYFUNCTION("""COMPUTED_VALUE"""),45922.99861111111)</f>
        <v>45922.99861</v>
      </c>
      <c r="B58" s="3">
        <f>IFERROR(__xludf.DUMMYFUNCTION("""COMPUTED_VALUE"""),20887.23137)</f>
        <v>20887.23137</v>
      </c>
    </row>
    <row r="59">
      <c r="A59" s="2">
        <f>IFERROR(__xludf.DUMMYFUNCTION("""COMPUTED_VALUE"""),45923.99861111111)</f>
        <v>45923.99861</v>
      </c>
      <c r="B59" s="3">
        <f>IFERROR(__xludf.DUMMYFUNCTION("""COMPUTED_VALUE"""),19582.24392)</f>
        <v>19582.24392</v>
      </c>
    </row>
    <row r="60">
      <c r="A60" s="2">
        <f>IFERROR(__xludf.DUMMYFUNCTION("""COMPUTED_VALUE"""),45924.99861111111)</f>
        <v>45924.99861</v>
      </c>
      <c r="B60" s="3">
        <f>IFERROR(__xludf.DUMMYFUNCTION("""COMPUTED_VALUE"""),18969.71408)</f>
        <v>18969.71408</v>
      </c>
    </row>
    <row r="61">
      <c r="A61" s="2">
        <f>IFERROR(__xludf.DUMMYFUNCTION("""COMPUTED_VALUE"""),45925.99861111111)</f>
        <v>45925.99861</v>
      </c>
      <c r="B61" s="3">
        <f>IFERROR(__xludf.DUMMYFUNCTION("""COMPUTED_VALUE"""),18797.7128)</f>
        <v>18797.7128</v>
      </c>
    </row>
    <row r="62">
      <c r="A62" s="2">
        <f>IFERROR(__xludf.DUMMYFUNCTION("""COMPUTED_VALUE"""),45926.99861111111)</f>
        <v>45926.99861</v>
      </c>
      <c r="B62" s="3">
        <f>IFERROR(__xludf.DUMMYFUNCTION("""COMPUTED_VALUE"""),17069.06738)</f>
        <v>17069.06738</v>
      </c>
    </row>
    <row r="63">
      <c r="A63" s="2">
        <f>IFERROR(__xludf.DUMMYFUNCTION("""COMPUTED_VALUE"""),45927.99861111111)</f>
        <v>45927.99861</v>
      </c>
      <c r="B63" s="3">
        <f>IFERROR(__xludf.DUMMYFUNCTION("""COMPUTED_VALUE"""),18208.31496)</f>
        <v>18208.31496</v>
      </c>
    </row>
    <row r="64">
      <c r="A64" s="2">
        <f>IFERROR(__xludf.DUMMYFUNCTION("""COMPUTED_VALUE"""),45928.99861111111)</f>
        <v>45928.99861</v>
      </c>
      <c r="B64" s="3">
        <f>IFERROR(__xludf.DUMMYFUNCTION("""COMPUTED_VALUE"""),18053.31066)</f>
        <v>18053.31066</v>
      </c>
    </row>
    <row r="65">
      <c r="A65" s="2">
        <f>IFERROR(__xludf.DUMMYFUNCTION("""COMPUTED_VALUE"""),45929.99861111111)</f>
        <v>45929.99861</v>
      </c>
      <c r="B65" s="3">
        <f>IFERROR(__xludf.DUMMYFUNCTION("""COMPUTED_VALUE"""),18697.55142)</f>
        <v>18697.55142</v>
      </c>
    </row>
    <row r="66">
      <c r="A66" s="2">
        <f>IFERROR(__xludf.DUMMYFUNCTION("""COMPUTED_VALUE"""),45930.99861111111)</f>
        <v>45930.99861</v>
      </c>
      <c r="B66" s="3">
        <f>IFERROR(__xludf.DUMMYFUNCTION("""COMPUTED_VALUE"""),18926.15187)</f>
        <v>18926.15187</v>
      </c>
    </row>
    <row r="67">
      <c r="A67" s="2">
        <f>IFERROR(__xludf.DUMMYFUNCTION("""COMPUTED_VALUE"""),45931.99861111111)</f>
        <v>45931.99861</v>
      </c>
      <c r="B67" s="3">
        <f>IFERROR(__xludf.DUMMYFUNCTION("""COMPUTED_VALUE"""),18511.37016)</f>
        <v>18511.37016</v>
      </c>
    </row>
    <row r="68">
      <c r="A68" s="2">
        <f>IFERROR(__xludf.DUMMYFUNCTION("""COMPUTED_VALUE"""),45932.99861111111)</f>
        <v>45932.99861</v>
      </c>
      <c r="B68" s="3">
        <f>IFERROR(__xludf.DUMMYFUNCTION("""COMPUTED_VALUE"""),19667.84881)</f>
        <v>19667.84881</v>
      </c>
    </row>
    <row r="69">
      <c r="A69" s="2">
        <f>IFERROR(__xludf.DUMMYFUNCTION("""COMPUTED_VALUE"""),45933.99861111111)</f>
        <v>45933.99861</v>
      </c>
      <c r="B69" s="3">
        <f>IFERROR(__xludf.DUMMYFUNCTION("""COMPUTED_VALUE"""),20838.22256)</f>
        <v>20838.22256</v>
      </c>
    </row>
    <row r="70">
      <c r="A70" s="2">
        <f>IFERROR(__xludf.DUMMYFUNCTION("""COMPUTED_VALUE"""),45934.99861111111)</f>
        <v>45934.99861</v>
      </c>
      <c r="B70" s="3">
        <f>IFERROR(__xludf.DUMMYFUNCTION("""COMPUTED_VALUE"""),20672.54151)</f>
        <v>20672.54151</v>
      </c>
    </row>
    <row r="71">
      <c r="A71" s="2">
        <f>IFERROR(__xludf.DUMMYFUNCTION("""COMPUTED_VALUE"""),45935.99861111111)</f>
        <v>45935.99861</v>
      </c>
      <c r="B71" s="3">
        <f>IFERROR(__xludf.DUMMYFUNCTION("""COMPUTED_VALUE"""),20230.43149)</f>
        <v>20230.43149</v>
      </c>
    </row>
    <row r="72">
      <c r="A72" s="2">
        <f>IFERROR(__xludf.DUMMYFUNCTION("""COMPUTED_VALUE"""),45936.99861111111)</f>
        <v>45936.99861</v>
      </c>
      <c r="B72" s="3">
        <f>IFERROR(__xludf.DUMMYFUNCTION("""COMPUTED_VALUE"""),20281.74105)</f>
        <v>20281.74105</v>
      </c>
    </row>
    <row r="73">
      <c r="A73" s="2">
        <f>IFERROR(__xludf.DUMMYFUNCTION("""COMPUTED_VALUE"""),45937.99861111111)</f>
        <v>45937.99861</v>
      </c>
      <c r="B73" s="3">
        <f>IFERROR(__xludf.DUMMYFUNCTION("""COMPUTED_VALUE"""),20633.79927)</f>
        <v>20633.79927</v>
      </c>
    </row>
    <row r="74">
      <c r="A74" s="2">
        <f>IFERROR(__xludf.DUMMYFUNCTION("""COMPUTED_VALUE"""),45938.99861111111)</f>
        <v>45938.99861</v>
      </c>
      <c r="B74" s="3">
        <f>IFERROR(__xludf.DUMMYFUNCTION("""COMPUTED_VALUE"""),19573.38399)</f>
        <v>19573.38399</v>
      </c>
    </row>
    <row r="75">
      <c r="A75" s="2">
        <f>IFERROR(__xludf.DUMMYFUNCTION("""COMPUTED_VALUE"""),45939.99861111111)</f>
        <v>45939.99861</v>
      </c>
      <c r="B75" s="3">
        <f>IFERROR(__xludf.DUMMYFUNCTION("""COMPUTED_VALUE"""),20359.44526)</f>
        <v>20359.44526</v>
      </c>
    </row>
    <row r="76">
      <c r="A76" s="2">
        <f>IFERROR(__xludf.DUMMYFUNCTION("""COMPUTED_VALUE"""),45940.99861111111)</f>
        <v>45940.99861</v>
      </c>
      <c r="B76" s="3">
        <f>IFERROR(__xludf.DUMMYFUNCTION("""COMPUTED_VALUE"""),19614.60195)</f>
        <v>19614.60195</v>
      </c>
    </row>
    <row r="77">
      <c r="A77" s="2">
        <f>IFERROR(__xludf.DUMMYFUNCTION("""COMPUTED_VALUE"""),45941.99861111111)</f>
        <v>45941.99861</v>
      </c>
      <c r="B77" s="3">
        <f>IFERROR(__xludf.DUMMYFUNCTION("""COMPUTED_VALUE"""),16745.75785)</f>
        <v>16745.75785</v>
      </c>
    </row>
    <row r="78">
      <c r="A78" s="2">
        <f>IFERROR(__xludf.DUMMYFUNCTION("""COMPUTED_VALUE"""),45942.99861111111)</f>
        <v>45942.99861</v>
      </c>
      <c r="B78" s="3">
        <f>IFERROR(__xludf.DUMMYFUNCTION("""COMPUTED_VALUE"""),15799.62484)</f>
        <v>15799.62484</v>
      </c>
    </row>
    <row r="79">
      <c r="A79" s="2">
        <f>IFERROR(__xludf.DUMMYFUNCTION("""COMPUTED_VALUE"""),45943.99861111111)</f>
        <v>45943.99861</v>
      </c>
      <c r="B79" s="3">
        <f>IFERROR(__xludf.DUMMYFUNCTION("""COMPUTED_VALUE"""),17506.53386)</f>
        <v>17506.53386</v>
      </c>
    </row>
    <row r="80">
      <c r="A80" s="2">
        <f>IFERROR(__xludf.DUMMYFUNCTION("""COMPUTED_VALUE"""),45944.99861111111)</f>
        <v>45944.99861</v>
      </c>
      <c r="B80" s="3">
        <f>IFERROR(__xludf.DUMMYFUNCTION("""COMPUTED_VALUE"""),18505.14955)</f>
        <v>18505.14955</v>
      </c>
    </row>
    <row r="81">
      <c r="A81" s="2">
        <f>IFERROR(__xludf.DUMMYFUNCTION("""COMPUTED_VALUE"""),45945.99861111111)</f>
        <v>45945.99861</v>
      </c>
      <c r="B81" s="3">
        <f>IFERROR(__xludf.DUMMYFUNCTION("""COMPUTED_VALUE"""),17778.37676)</f>
        <v>17778.37676</v>
      </c>
    </row>
    <row r="82">
      <c r="A82" s="2">
        <f>IFERROR(__xludf.DUMMYFUNCTION("""COMPUTED_VALUE"""),45946.99861111111)</f>
        <v>45946.99861</v>
      </c>
      <c r="B82" s="3">
        <f>IFERROR(__xludf.DUMMYFUNCTION("""COMPUTED_VALUE"""),17069.57106)</f>
        <v>17069.57106</v>
      </c>
    </row>
    <row r="83">
      <c r="A83" s="2">
        <f>IFERROR(__xludf.DUMMYFUNCTION("""COMPUTED_VALUE"""),45947.99861111111)</f>
        <v>45947.99861</v>
      </c>
      <c r="B83" s="3">
        <f>IFERROR(__xludf.DUMMYFUNCTION("""COMPUTED_VALUE"""),16254.88887)</f>
        <v>16254.88887</v>
      </c>
    </row>
    <row r="84">
      <c r="A84" s="2">
        <f>IFERROR(__xludf.DUMMYFUNCTION("""COMPUTED_VALUE"""),45948.99861111111)</f>
        <v>45948.99861</v>
      </c>
      <c r="B84" s="3">
        <f>IFERROR(__xludf.DUMMYFUNCTION("""COMPUTED_VALUE"""),16018.76668)</f>
        <v>16018.76668</v>
      </c>
    </row>
    <row r="85">
      <c r="A85" s="2">
        <f>IFERROR(__xludf.DUMMYFUNCTION("""COMPUTED_VALUE"""),45949.99861111111)</f>
        <v>45949.99861</v>
      </c>
      <c r="B85" s="3">
        <f>IFERROR(__xludf.DUMMYFUNCTION("""COMPUTED_VALUE"""),16515.46204)</f>
        <v>16515.46204</v>
      </c>
    </row>
    <row r="86">
      <c r="A86" s="2">
        <f>IFERROR(__xludf.DUMMYFUNCTION("""COMPUTED_VALUE"""),45950.99861111111)</f>
        <v>45950.99861</v>
      </c>
      <c r="B86" s="3">
        <f>IFERROR(__xludf.DUMMYFUNCTION("""COMPUTED_VALUE"""),16506.03463)</f>
        <v>16506.03463</v>
      </c>
    </row>
    <row r="87">
      <c r="A87" s="2">
        <f>IFERROR(__xludf.DUMMYFUNCTION("""COMPUTED_VALUE"""),45951.99861111111)</f>
        <v>45951.99861</v>
      </c>
      <c r="B87" s="3">
        <f>IFERROR(__xludf.DUMMYFUNCTION("""COMPUTED_VALUE"""),16699.35961)</f>
        <v>16699.35961</v>
      </c>
    </row>
    <row r="88">
      <c r="A88" s="2">
        <f>IFERROR(__xludf.DUMMYFUNCTION("""COMPUTED_VALUE"""),45952.99861111111)</f>
        <v>45952.99861</v>
      </c>
      <c r="B88" s="3">
        <f>IFERROR(__xludf.DUMMYFUNCTION("""COMPUTED_VALUE"""),16290.24138)</f>
        <v>16290.24138</v>
      </c>
    </row>
    <row r="89">
      <c r="A89" s="2">
        <f>IFERROR(__xludf.DUMMYFUNCTION("""COMPUTED_VALUE"""),45953.99861111111)</f>
        <v>45953.99861</v>
      </c>
      <c r="B89" s="3">
        <f>IFERROR(__xludf.DUMMYFUNCTION("""COMPUTED_VALUE"""),15813.5624)</f>
        <v>15813.5624</v>
      </c>
    </row>
    <row r="90">
      <c r="A90" s="2">
        <f>IFERROR(__xludf.DUMMYFUNCTION("""COMPUTED_VALUE"""),45954.99861111111)</f>
        <v>45954.99861</v>
      </c>
      <c r="B90" s="3">
        <f>IFERROR(__xludf.DUMMYFUNCTION("""COMPUTED_VALUE"""),16807.8663)</f>
        <v>16807.8663</v>
      </c>
    </row>
    <row r="91">
      <c r="A91" s="2">
        <f>IFERROR(__xludf.DUMMYFUNCTION("""COMPUTED_VALUE"""),45955.99861111111)</f>
        <v>45955.99861</v>
      </c>
      <c r="B91" s="3">
        <f>IFERROR(__xludf.DUMMYFUNCTION("""COMPUTED_VALUE"""),16996.5663)</f>
        <v>16996.5663</v>
      </c>
    </row>
    <row r="92">
      <c r="A92" s="2">
        <f>IFERROR(__xludf.DUMMYFUNCTION("""COMPUTED_VALUE"""),45956.99861111111)</f>
        <v>45956.99861</v>
      </c>
      <c r="B92" s="3">
        <f>IFERROR(__xludf.DUMMYFUNCTION("""COMPUTED_VALUE"""),17040.71432)</f>
        <v>17040.71432</v>
      </c>
    </row>
    <row r="93">
      <c r="A93" s="2">
        <f>IFERROR(__xludf.DUMMYFUNCTION("""COMPUTED_VALUE"""),45957.99861111111)</f>
        <v>45957.99861</v>
      </c>
      <c r="B93" s="3">
        <f>IFERROR(__xludf.DUMMYFUNCTION("""COMPUTED_VALUE"""),17646.14915)</f>
        <v>17646.14915</v>
      </c>
    </row>
    <row r="94">
      <c r="A94" s="2">
        <f>IFERROR(__xludf.DUMMYFUNCTION("""COMPUTED_VALUE"""),45958.99861111111)</f>
        <v>45958.99861</v>
      </c>
      <c r="B94" s="3">
        <f>IFERROR(__xludf.DUMMYFUNCTION("""COMPUTED_VALUE"""),17533.67119)</f>
        <v>17533.67119</v>
      </c>
    </row>
    <row r="95">
      <c r="A95" s="2">
        <f>IFERROR(__xludf.DUMMYFUNCTION("""COMPUTED_VALUE"""),45959.99861111111)</f>
        <v>45959.99861</v>
      </c>
      <c r="B95" s="3">
        <f>IFERROR(__xludf.DUMMYFUNCTION("""COMPUTED_VALUE"""),17174.99422)</f>
        <v>17174.99422</v>
      </c>
    </row>
    <row r="96">
      <c r="A96" s="2">
        <f>IFERROR(__xludf.DUMMYFUNCTION("""COMPUTED_VALUE"""),45960.99861111111)</f>
        <v>45960.99861</v>
      </c>
      <c r="B96" s="3">
        <f>IFERROR(__xludf.DUMMYFUNCTION("""COMPUTED_VALUE"""),17224.73237)</f>
        <v>17224.73237</v>
      </c>
    </row>
    <row r="97">
      <c r="A97" s="2">
        <f>IFERROR(__xludf.DUMMYFUNCTION("""COMPUTED_VALUE"""),45961.99861111111)</f>
        <v>45961.99861</v>
      </c>
      <c r="B97" s="3">
        <f>IFERROR(__xludf.DUMMYFUNCTION("""COMPUTED_VALUE"""),16393.1498)</f>
        <v>16393.1498</v>
      </c>
    </row>
    <row r="98">
      <c r="A98" s="2">
        <f>IFERROR(__xludf.DUMMYFUNCTION("""COMPUTED_VALUE"""),45962.99861111111)</f>
        <v>45962.99861</v>
      </c>
      <c r="B98" s="3">
        <f>IFERROR(__xludf.DUMMYFUNCTION("""COMPUTED_VALUE"""),16619.47396)</f>
        <v>16619.47396</v>
      </c>
    </row>
    <row r="99">
      <c r="A99" s="2">
        <f>IFERROR(__xludf.DUMMYFUNCTION("""COMPUTED_VALUE"""),45963.99861111111)</f>
        <v>45963.99861</v>
      </c>
      <c r="B99" s="3">
        <f>IFERROR(__xludf.DUMMYFUNCTION("""COMPUTED_VALUE"""),16543.03834)</f>
        <v>16543.03834</v>
      </c>
    </row>
    <row r="100">
      <c r="A100" s="2">
        <f>IFERROR(__xludf.DUMMYFUNCTION("""COMPUTED_VALUE"""),45964.99861111111)</f>
        <v>45964.99861</v>
      </c>
      <c r="B100" s="3">
        <f>IFERROR(__xludf.DUMMYFUNCTION("""COMPUTED_VALUE"""),16663.53213)</f>
        <v>16663.53213</v>
      </c>
    </row>
    <row r="101">
      <c r="A101" s="2">
        <f>IFERROR(__xludf.DUMMYFUNCTION("""COMPUTED_VALUE"""),45965.99861111111)</f>
        <v>45965.99861</v>
      </c>
      <c r="B101" s="3">
        <f>IFERROR(__xludf.DUMMYFUNCTION("""COMPUTED_VALUE"""),14737.66647)</f>
        <v>14737.66647</v>
      </c>
    </row>
    <row r="102">
      <c r="A102" s="2">
        <f>IFERROR(__xludf.DUMMYFUNCTION("""COMPUTED_VALUE"""),45966.99861111111)</f>
        <v>45966.99861</v>
      </c>
      <c r="B102" s="3">
        <f>IFERROR(__xludf.DUMMYFUNCTION("""COMPUTED_VALUE"""),13759.86485)</f>
        <v>13759.86485</v>
      </c>
    </row>
    <row r="103">
      <c r="A103" s="2">
        <f>IFERROR(__xludf.DUMMYFUNCTION("""COMPUTED_VALUE"""),45967.99861111111)</f>
        <v>45967.99861</v>
      </c>
      <c r="B103" s="3">
        <f>IFERROR(__xludf.DUMMYFUNCTION("""COMPUTED_VALUE"""),14412.93602)</f>
        <v>14412.93602</v>
      </c>
    </row>
    <row r="104">
      <c r="A104" s="2">
        <f>IFERROR(__xludf.DUMMYFUNCTION("""COMPUTED_VALUE"""),45968.99861111111)</f>
        <v>45968.99861</v>
      </c>
      <c r="B104" s="3">
        <f>IFERROR(__xludf.DUMMYFUNCTION("""COMPUTED_VALUE"""),13750.77986)</f>
        <v>13750.77986</v>
      </c>
    </row>
    <row r="105">
      <c r="A105" s="2">
        <f>IFERROR(__xludf.DUMMYFUNCTION("""COMPUTED_VALUE"""),45969.99861111111)</f>
        <v>45969.99861</v>
      </c>
      <c r="B105" s="3">
        <f>IFERROR(__xludf.DUMMYFUNCTION("""COMPUTED_VALUE"""),14337.30942)</f>
        <v>14337.30942</v>
      </c>
    </row>
    <row r="106">
      <c r="A106" s="2">
        <f>IFERROR(__xludf.DUMMYFUNCTION("""COMPUTED_VALUE"""),45970.99861111111)</f>
        <v>45970.99861</v>
      </c>
      <c r="B106" s="3">
        <f>IFERROR(__xludf.DUMMYFUNCTION("""COMPUTED_VALUE"""),14016.03187)</f>
        <v>14016.03187</v>
      </c>
    </row>
    <row r="107">
      <c r="A107" s="2">
        <f>IFERROR(__xludf.DUMMYFUNCTION("""COMPUTED_VALUE"""),45971.99861111111)</f>
        <v>45971.99861</v>
      </c>
      <c r="B107" s="3">
        <f>IFERROR(__xludf.DUMMYFUNCTION("""COMPUTED_VALUE"""),14589.32852)</f>
        <v>14589.32852</v>
      </c>
    </row>
    <row r="108">
      <c r="A108" s="2">
        <f>IFERROR(__xludf.DUMMYFUNCTION("""COMPUTED_VALUE"""),45972.99861111111)</f>
        <v>45972.99861</v>
      </c>
      <c r="B108" s="3">
        <f>IFERROR(__xludf.DUMMYFUNCTION("""COMPUTED_VALUE"""),14804.90416)</f>
        <v>14804.90416</v>
      </c>
    </row>
    <row r="109">
      <c r="A109" s="2">
        <f>IFERROR(__xludf.DUMMYFUNCTION("""COMPUTED_VALUE"""),45973.99861111111)</f>
        <v>45973.99861</v>
      </c>
      <c r="B109" s="3">
        <f>IFERROR(__xludf.DUMMYFUNCTION("""COMPUTED_VALUE"""),13697.30571)</f>
        <v>13697.30571</v>
      </c>
    </row>
    <row r="110">
      <c r="A110" s="2">
        <f>IFERROR(__xludf.DUMMYFUNCTION("""COMPUTED_VALUE"""),45974.99861111111)</f>
        <v>45974.99861</v>
      </c>
      <c r="B110" s="3">
        <f>IFERROR(__xludf.DUMMYFUNCTION("""COMPUTED_VALUE"""),13613.08345)</f>
        <v>13613.08345</v>
      </c>
    </row>
    <row r="111">
      <c r="A111" s="2">
        <f>IFERROR(__xludf.DUMMYFUNCTION("""COMPUTED_VALUE"""),45975.99861111111)</f>
        <v>45975.99861</v>
      </c>
      <c r="B111" s="3">
        <f>IFERROR(__xludf.DUMMYFUNCTION("""COMPUTED_VALUE"""),12870.46545)</f>
        <v>12870.46545</v>
      </c>
    </row>
    <row r="112">
      <c r="A112" s="2">
        <f>IFERROR(__xludf.DUMMYFUNCTION("""COMPUTED_VALUE"""),45976.99861111111)</f>
        <v>45976.99861</v>
      </c>
      <c r="B112" s="3">
        <f>IFERROR(__xludf.DUMMYFUNCTION("""COMPUTED_VALUE"""),12303.97125)</f>
        <v>12303.97125</v>
      </c>
    </row>
    <row r="113">
      <c r="A113" s="2">
        <f>IFERROR(__xludf.DUMMYFUNCTION("""COMPUTED_VALUE"""),45977.99861111111)</f>
        <v>45977.99861</v>
      </c>
      <c r="B113" s="3">
        <f>IFERROR(__xludf.DUMMYFUNCTION("""COMPUTED_VALUE"""),12374.02116)</f>
        <v>12374.02116</v>
      </c>
    </row>
    <row r="114">
      <c r="A114" s="2">
        <f>IFERROR(__xludf.DUMMYFUNCTION("""COMPUTED_VALUE"""),45978.99861111111)</f>
        <v>45978.99861</v>
      </c>
      <c r="B114" s="3">
        <f>IFERROR(__xludf.DUMMYFUNCTION("""COMPUTED_VALUE"""),12164.34659)</f>
        <v>12164.34659</v>
      </c>
    </row>
    <row r="115">
      <c r="A115" s="2">
        <f>IFERROR(__xludf.DUMMYFUNCTION("""COMPUTED_VALUE"""),45979.99861111111)</f>
        <v>45979.99861</v>
      </c>
      <c r="B115" s="3">
        <f>IFERROR(__xludf.DUMMYFUNCTION("""COMPUTED_VALUE"""),11585.86843)</f>
        <v>11585.86843</v>
      </c>
    </row>
    <row r="116">
      <c r="A116" s="2">
        <f>IFERROR(__xludf.DUMMYFUNCTION("""COMPUTED_VALUE"""),45980.99861111111)</f>
        <v>45980.99861</v>
      </c>
      <c r="B116" s="3">
        <f>IFERROR(__xludf.DUMMYFUNCTION("""COMPUTED_VALUE"""),12448.62706)</f>
        <v>12448.62706</v>
      </c>
    </row>
    <row r="117">
      <c r="A117" s="2">
        <f>IFERROR(__xludf.DUMMYFUNCTION("""COMPUTED_VALUE"""),45981.99861111111)</f>
        <v>45981.99861</v>
      </c>
      <c r="B117" s="3">
        <f>IFERROR(__xludf.DUMMYFUNCTION("""COMPUTED_VALUE"""),12131.53197)</f>
        <v>12131.53197</v>
      </c>
    </row>
    <row r="118">
      <c r="A118" s="2">
        <f>IFERROR(__xludf.DUMMYFUNCTION("""COMPUTED_VALUE"""),45982.99861111111)</f>
        <v>45982.99861</v>
      </c>
      <c r="B118" s="3">
        <f>IFERROR(__xludf.DUMMYFUNCTION("""COMPUTED_VALUE"""),11966.5288)</f>
        <v>11966.5288</v>
      </c>
    </row>
    <row r="119">
      <c r="A119" s="2">
        <f>IFERROR(__xludf.DUMMYFUNCTION("""COMPUTED_VALUE"""),45983.99861111111)</f>
        <v>45983.99861</v>
      </c>
      <c r="B119" s="3">
        <f>IFERROR(__xludf.DUMMYFUNCTION("""COMPUTED_VALUE"""),11519.60307)</f>
        <v>11519.60307</v>
      </c>
    </row>
    <row r="120">
      <c r="A120" s="2">
        <f>IFERROR(__xludf.DUMMYFUNCTION("""COMPUTED_VALUE"""),45984.99861111111)</f>
        <v>45984.99861</v>
      </c>
      <c r="B120" s="3">
        <f>IFERROR(__xludf.DUMMYFUNCTION("""COMPUTED_VALUE"""),11434.14328)</f>
        <v>11434.14328</v>
      </c>
    </row>
    <row r="121">
      <c r="A121" s="2">
        <f>IFERROR(__xludf.DUMMYFUNCTION("""COMPUTED_VALUE"""),45985.99861111111)</f>
        <v>45985.99861</v>
      </c>
      <c r="B121" s="3">
        <f>IFERROR(__xludf.DUMMYFUNCTION("""COMPUTED_VALUE"""),11649.3531)</f>
        <v>11649.3531</v>
      </c>
    </row>
    <row r="122">
      <c r="A122" s="2">
        <f>IFERROR(__xludf.DUMMYFUNCTION("""COMPUTED_VALUE"""),45986.99861111111)</f>
        <v>45986.99861</v>
      </c>
      <c r="B122" s="3">
        <f>IFERROR(__xludf.DUMMYFUNCTION("""COMPUTED_VALUE"""),12335.73286)</f>
        <v>12335.73286</v>
      </c>
    </row>
    <row r="123">
      <c r="A123" s="2">
        <f>IFERROR(__xludf.DUMMYFUNCTION("""COMPUTED_VALUE"""),45987.99861111111)</f>
        <v>45987.99861</v>
      </c>
      <c r="B123" s="3">
        <f>IFERROR(__xludf.DUMMYFUNCTION("""COMPUTED_VALUE"""),12384.6337)</f>
        <v>12384.6337</v>
      </c>
    </row>
    <row r="124">
      <c r="A124" s="2">
        <f>IFERROR(__xludf.DUMMYFUNCTION("""COMPUTED_VALUE"""),45988.99861111111)</f>
        <v>45988.99861</v>
      </c>
      <c r="B124" s="3">
        <f>IFERROR(__xludf.DUMMYFUNCTION("""COMPUTED_VALUE"""),12780.34601)</f>
        <v>12780.34601</v>
      </c>
    </row>
    <row r="125">
      <c r="A125" s="2">
        <f>IFERROR(__xludf.DUMMYFUNCTION("""COMPUTED_VALUE"""),45989.99861111111)</f>
        <v>45989.99861</v>
      </c>
      <c r="B125" s="3">
        <f>IFERROR(__xludf.DUMMYFUNCTION("""COMPUTED_VALUE"""),12583.38113)</f>
        <v>12583.38113</v>
      </c>
    </row>
    <row r="126">
      <c r="A126" s="2">
        <f>IFERROR(__xludf.DUMMYFUNCTION("""COMPUTED_VALUE"""),45990.99861111111)</f>
        <v>45990.99861</v>
      </c>
      <c r="B126" s="3">
        <f>IFERROR(__xludf.DUMMYFUNCTION("""COMPUTED_VALUE"""),12275.14536)</f>
        <v>12275.14536</v>
      </c>
    </row>
    <row r="127">
      <c r="A127" s="2">
        <f>IFERROR(__xludf.DUMMYFUNCTION("""COMPUTED_VALUE"""),45991.99861111111)</f>
        <v>45991.99861</v>
      </c>
      <c r="B127" s="3">
        <f>IFERROR(__xludf.DUMMYFUNCTION("""COMPUTED_VALUE"""),12158.2387)</f>
        <v>12158.2387</v>
      </c>
    </row>
    <row r="128">
      <c r="A128" s="2">
        <f>IFERROR(__xludf.DUMMYFUNCTION("""COMPUTED_VALUE"""),45992.99861111111)</f>
        <v>45992.99861</v>
      </c>
      <c r="B128" s="3">
        <f>IFERROR(__xludf.DUMMYFUNCTION("""COMPUTED_VALUE"""),11971.2889)</f>
        <v>11971.2889</v>
      </c>
    </row>
    <row r="129">
      <c r="A129" s="2">
        <f>IFERROR(__xludf.DUMMYFUNCTION("""COMPUTED_VALUE"""),45993.99861111111)</f>
        <v>45993.99861</v>
      </c>
      <c r="B129" s="3">
        <f>IFERROR(__xludf.DUMMYFUNCTION("""COMPUTED_VALUE"""),11392.71604)</f>
        <v>11392.71604</v>
      </c>
    </row>
    <row r="130">
      <c r="A130" s="2">
        <f>IFERROR(__xludf.DUMMYFUNCTION("""COMPUTED_VALUE"""),45994.99861111111)</f>
        <v>45994.99861</v>
      </c>
      <c r="B130" s="3">
        <f>IFERROR(__xludf.DUMMYFUNCTION("""COMPUTED_VALUE"""),12504.25883)</f>
        <v>12504.25883</v>
      </c>
    </row>
    <row r="131">
      <c r="A131" s="2">
        <f>IFERROR(__xludf.DUMMYFUNCTION("""COMPUTED_VALUE"""),45995.99861111111)</f>
        <v>45995.99861</v>
      </c>
      <c r="B131" s="3">
        <f>IFERROR(__xludf.DUMMYFUNCTION("""COMPUTED_VALUE"""),13017.18655)</f>
        <v>13017.18655</v>
      </c>
    </row>
    <row r="132">
      <c r="A132" s="2">
        <f>IFERROR(__xludf.DUMMYFUNCTION("""COMPUTED_VALUE"""),45996.99861111111)</f>
        <v>45996.99861</v>
      </c>
      <c r="B132" s="3">
        <f>IFERROR(__xludf.DUMMYFUNCTION("""COMPUTED_VALUE"""),12495.42451)</f>
        <v>12495.42451</v>
      </c>
    </row>
    <row r="133">
      <c r="A133" s="2">
        <f>IFERROR(__xludf.DUMMYFUNCTION("""COMPUTED_VALUE"""),45997.99861111111)</f>
        <v>45997.99861</v>
      </c>
      <c r="B133" s="3">
        <f>IFERROR(__xludf.DUMMYFUNCTION("""COMPUTED_VALUE"""),11983.88508)</f>
        <v>11983.88508</v>
      </c>
    </row>
    <row r="134">
      <c r="A134" s="2">
        <f>IFERROR(__xludf.DUMMYFUNCTION("""COMPUTED_VALUE"""),45998.99861111111)</f>
        <v>45998.99861</v>
      </c>
      <c r="B134" s="3">
        <f>IFERROR(__xludf.DUMMYFUNCTION("""COMPUTED_VALUE"""),11902.04416)</f>
        <v>11902.04416</v>
      </c>
    </row>
    <row r="135">
      <c r="A135" s="2">
        <f>IFERROR(__xludf.DUMMYFUNCTION("""COMPUTED_VALUE"""),45999.99861111111)</f>
        <v>45999.99861</v>
      </c>
      <c r="B135" s="3">
        <f>IFERROR(__xludf.DUMMYFUNCTION("""COMPUTED_VALUE"""),11907.69619)</f>
        <v>11907.69619</v>
      </c>
    </row>
    <row r="136">
      <c r="A136" s="2">
        <f>IFERROR(__xludf.DUMMYFUNCTION("""COMPUTED_VALUE"""),46000.99861111111)</f>
        <v>46000.99861</v>
      </c>
      <c r="B136" s="3">
        <f>IFERROR(__xludf.DUMMYFUNCTION("""COMPUTED_VALUE"""),11982.51491)</f>
        <v>11982.51491</v>
      </c>
    </row>
    <row r="137">
      <c r="A137" s="2">
        <f>IFERROR(__xludf.DUMMYFUNCTION("""COMPUTED_VALUE"""),46001.99861111111)</f>
        <v>46001.99861</v>
      </c>
      <c r="B137" s="3">
        <f>IFERROR(__xludf.DUMMYFUNCTION("""COMPUTED_VALUE"""),12383.53221)</f>
        <v>12383.53221</v>
      </c>
    </row>
    <row r="138">
      <c r="A138" s="2">
        <f>IFERROR(__xludf.DUMMYFUNCTION("""COMPUTED_VALUE"""),46002.99861111111)</f>
        <v>46002.99861</v>
      </c>
      <c r="B138" s="3">
        <f>IFERROR(__xludf.DUMMYFUNCTION("""COMPUTED_VALUE"""),12314.87744)</f>
        <v>12314.87744</v>
      </c>
    </row>
    <row r="139">
      <c r="A139" s="2">
        <f>IFERROR(__xludf.DUMMYFUNCTION("""COMPUTED_VALUE"""),46003.99861111111)</f>
        <v>46003.99861</v>
      </c>
      <c r="B139" s="3">
        <f>IFERROR(__xludf.DUMMYFUNCTION("""COMPUTED_VALUE"""),12349.50925)</f>
        <v>12349.50925</v>
      </c>
    </row>
    <row r="140">
      <c r="A140" s="2">
        <f>IFERROR(__xludf.DUMMYFUNCTION("""COMPUTED_VALUE"""),46004.99861111111)</f>
        <v>46004.99861</v>
      </c>
      <c r="B140" s="3">
        <f>IFERROR(__xludf.DUMMYFUNCTION("""COMPUTED_VALUE"""),11986.80267)</f>
        <v>11986.80267</v>
      </c>
    </row>
    <row r="141">
      <c r="A141" s="2">
        <f>IFERROR(__xludf.DUMMYFUNCTION("""COMPUTED_VALUE"""),46005.99861111111)</f>
        <v>46005.99861</v>
      </c>
      <c r="B141" s="3">
        <f>IFERROR(__xludf.DUMMYFUNCTION("""COMPUTED_VALUE"""),12067.2748)</f>
        <v>12067.2748</v>
      </c>
    </row>
    <row r="142">
      <c r="A142" s="2">
        <f>IFERROR(__xludf.DUMMYFUNCTION("""COMPUTED_VALUE"""),46006.99861111111)</f>
        <v>46006.99861</v>
      </c>
      <c r="B142" s="3">
        <f>IFERROR(__xludf.DUMMYFUNCTION("""COMPUTED_VALUE"""),11754.00179)</f>
        <v>11754.00179</v>
      </c>
    </row>
    <row r="143">
      <c r="A143" s="2">
        <f>IFERROR(__xludf.DUMMYFUNCTION("""COMPUTED_VALUE"""),46007.99861111111)</f>
        <v>46007.99861</v>
      </c>
      <c r="B143" s="3">
        <f>IFERROR(__xludf.DUMMYFUNCTION("""COMPUTED_VALUE"""),11620.28629)</f>
        <v>11620.28629</v>
      </c>
    </row>
    <row r="144">
      <c r="A144" s="2">
        <f>IFERROR(__xludf.DUMMYFUNCTION("""COMPUTED_VALUE"""),46008.99861111111)</f>
        <v>46008.99861</v>
      </c>
      <c r="B144" s="3">
        <f>IFERROR(__xludf.DUMMYFUNCTION("""COMPUTED_VALUE"""),11681.98348)</f>
        <v>11681.98348</v>
      </c>
    </row>
    <row r="145">
      <c r="A145" s="2">
        <f>IFERROR(__xludf.DUMMYFUNCTION("""COMPUTED_VALUE"""),46009.99861111111)</f>
        <v>46009.99861</v>
      </c>
      <c r="B145" s="3">
        <f>IFERROR(__xludf.DUMMYFUNCTION("""COMPUTED_VALUE"""),11113.58475)</f>
        <v>11113.58475</v>
      </c>
    </row>
    <row r="146">
      <c r="A146" s="2">
        <f>IFERROR(__xludf.DUMMYFUNCTION("""COMPUTED_VALUE"""),46010.99861111111)</f>
        <v>46010.99861</v>
      </c>
      <c r="B146" s="3">
        <f>IFERROR(__xludf.DUMMYFUNCTION("""COMPUTED_VALUE"""),10710.48887)</f>
        <v>10710.48887</v>
      </c>
    </row>
    <row r="147">
      <c r="A147" s="2">
        <f>IFERROR(__xludf.DUMMYFUNCTION("""COMPUTED_VALUE"""),46011.99861111111)</f>
        <v>46011.99861</v>
      </c>
      <c r="B147" s="3">
        <f>IFERROR(__xludf.DUMMYFUNCTION("""COMPUTED_VALUE"""),11304.13655)</f>
        <v>11304.13655</v>
      </c>
    </row>
    <row r="148">
      <c r="A148" s="2">
        <f>IFERROR(__xludf.DUMMYFUNCTION("""COMPUTED_VALUE"""),46012.99861111111)</f>
        <v>46012.99861</v>
      </c>
      <c r="B148" s="3">
        <f>IFERROR(__xludf.DUMMYFUNCTION("""COMPUTED_VALUE"""),11267.95078)</f>
        <v>11267.95078</v>
      </c>
    </row>
    <row r="149">
      <c r="A149" s="2">
        <f>IFERROR(__xludf.DUMMYFUNCTION("""COMPUTED_VALUE"""),46013.99861111111)</f>
        <v>46013.99861</v>
      </c>
      <c r="B149" s="3">
        <f>IFERROR(__xludf.DUMMYFUNCTION("""COMPUTED_VALUE"""),11289.73298)</f>
        <v>11289.73298</v>
      </c>
    </row>
    <row r="150">
      <c r="A150" s="2">
        <f>IFERROR(__xludf.DUMMYFUNCTION("""COMPUTED_VALUE"""),46014.99861111111)</f>
        <v>46014.99861</v>
      </c>
      <c r="B150" s="3">
        <f>IFERROR(__xludf.DUMMYFUNCTION("""COMPUTED_VALUE"""),11259.92375)</f>
        <v>11259.92375</v>
      </c>
    </row>
    <row r="151">
      <c r="A151" s="2">
        <f>IFERROR(__xludf.DUMMYFUNCTION("""COMPUTED_VALUE"""),46015.99861111111)</f>
        <v>46015.99861</v>
      </c>
      <c r="B151" s="3">
        <f>IFERROR(__xludf.DUMMYFUNCTION("""COMPUTED_VALUE"""),11127.06905)</f>
        <v>11127.06905</v>
      </c>
    </row>
    <row r="152">
      <c r="A152" s="2">
        <f>IFERROR(__xludf.DUMMYFUNCTION("""COMPUTED_VALUE"""),46016.99861111111)</f>
        <v>46016.99861</v>
      </c>
      <c r="B152" s="3">
        <f>IFERROR(__xludf.DUMMYFUNCTION("""COMPUTED_VALUE"""),11033.91798)</f>
        <v>11033.91798</v>
      </c>
    </row>
    <row r="153">
      <c r="A153" s="2">
        <f>IFERROR(__xludf.DUMMYFUNCTION("""COMPUTED_VALUE"""),46017.99861111111)</f>
        <v>46017.99861</v>
      </c>
      <c r="B153" s="3">
        <f>IFERROR(__xludf.DUMMYFUNCTION("""COMPUTED_VALUE"""),10775.28503)</f>
        <v>10775.28503</v>
      </c>
    </row>
    <row r="154">
      <c r="A154" s="2">
        <f>IFERROR(__xludf.DUMMYFUNCTION("""COMPUTED_VALUE"""),46018.99861111111)</f>
        <v>46018.99861</v>
      </c>
      <c r="B154" s="3">
        <f>IFERROR(__xludf.DUMMYFUNCTION("""COMPUTED_VALUE"""),10976.60148)</f>
        <v>10976.60148</v>
      </c>
    </row>
    <row r="155">
      <c r="A155" s="2">
        <f>IFERROR(__xludf.DUMMYFUNCTION("""COMPUTED_VALUE"""),46019.99861111111)</f>
        <v>46019.99861</v>
      </c>
      <c r="B155" s="3">
        <f>IFERROR(__xludf.DUMMYFUNCTION("""COMPUTED_VALUE"""),11196.49462)</f>
        <v>11196.49462</v>
      </c>
    </row>
    <row r="156">
      <c r="A156" s="2">
        <f>IFERROR(__xludf.DUMMYFUNCTION("""COMPUTED_VALUE"""),46020.99861111111)</f>
        <v>46020.99861</v>
      </c>
      <c r="B156" s="3">
        <f>IFERROR(__xludf.DUMMYFUNCTION("""COMPUTED_VALUE"""),11255.04848)</f>
        <v>11255.04848</v>
      </c>
    </row>
    <row r="157">
      <c r="A157" s="2">
        <f>IFERROR(__xludf.DUMMYFUNCTION("""COMPUTED_VALUE"""),46021.99861111111)</f>
        <v>46021.99861</v>
      </c>
      <c r="B157" s="3">
        <f>IFERROR(__xludf.DUMMYFUNCTION("""COMPUTED_VALUE"""),11052.82146)</f>
        <v>11052.82146</v>
      </c>
    </row>
    <row r="158">
      <c r="A158" s="2">
        <f>IFERROR(__xludf.DUMMYFUNCTION("""COMPUTED_VALUE"""),46022.99861111111)</f>
        <v>46022.99861</v>
      </c>
      <c r="B158" s="3">
        <f>IFERROR(__xludf.DUMMYFUNCTION("""COMPUTED_VALUE"""),11238.41838)</f>
        <v>11238.41838</v>
      </c>
    </row>
    <row r="159">
      <c r="A159" s="2">
        <f>IFERROR(__xludf.DUMMYFUNCTION("""COMPUTED_VALUE"""),46023.99861111111)</f>
        <v>46023.99861</v>
      </c>
      <c r="B159" s="3">
        <f>IFERROR(__xludf.DUMMYFUNCTION("""COMPUTED_VALUE"""),11198.57426)</f>
        <v>11198.57426</v>
      </c>
    </row>
    <row r="160">
      <c r="A160" s="2">
        <f>IFERROR(__xludf.DUMMYFUNCTION("""COMPUTED_VALUE"""),46024.99861111111)</f>
        <v>46024.99861</v>
      </c>
      <c r="B160" s="3">
        <f>IFERROR(__xludf.DUMMYFUNCTION("""COMPUTED_VALUE"""),11410.07397)</f>
        <v>11410.07397</v>
      </c>
    </row>
    <row r="161">
      <c r="A161" s="2">
        <f>IFERROR(__xludf.DUMMYFUNCTION("""COMPUTED_VALUE"""),46025.99861111111)</f>
        <v>46025.99861</v>
      </c>
      <c r="B161" s="3">
        <f>IFERROR(__xludf.DUMMYFUNCTION("""COMPUTED_VALUE"""),11898.02578)</f>
        <v>11898.02578</v>
      </c>
    </row>
    <row r="162">
      <c r="A162" s="2">
        <f>IFERROR(__xludf.DUMMYFUNCTION("""COMPUTED_VALUE"""),46026.99861111111)</f>
        <v>46026.99861</v>
      </c>
      <c r="B162" s="3">
        <f>IFERROR(__xludf.DUMMYFUNCTION("""COMPUTED_VALUE"""),11997.92409)</f>
        <v>11997.92409</v>
      </c>
    </row>
    <row r="163">
      <c r="A163" s="2">
        <f>IFERROR(__xludf.DUMMYFUNCTION("""COMPUTED_VALUE"""),46027.99861111111)</f>
        <v>46027.99861</v>
      </c>
      <c r="B163" s="3">
        <f>IFERROR(__xludf.DUMMYFUNCTION("""COMPUTED_VALUE"""),12084.86959)</f>
        <v>12084.86959</v>
      </c>
    </row>
    <row r="164">
      <c r="A164" s="2">
        <f>IFERROR(__xludf.DUMMYFUNCTION("""COMPUTED_VALUE"""),46028.99861111111)</f>
        <v>46028.99861</v>
      </c>
      <c r="B164" s="3">
        <f>IFERROR(__xludf.DUMMYFUNCTION("""COMPUTED_VALUE"""),12440.24386)</f>
        <v>12440.24386</v>
      </c>
    </row>
    <row r="165">
      <c r="A165" s="2">
        <f>IFERROR(__xludf.DUMMYFUNCTION("""COMPUTED_VALUE"""),46029.99861111111)</f>
        <v>46029.99861</v>
      </c>
      <c r="B165" s="3">
        <f>IFERROR(__xludf.DUMMYFUNCTION("""COMPUTED_VALUE"""),12678.82441)</f>
        <v>12678.82441</v>
      </c>
    </row>
    <row r="166">
      <c r="A166" s="2">
        <f>IFERROR(__xludf.DUMMYFUNCTION("""COMPUTED_VALUE"""),46030.99861111111)</f>
        <v>46030.99861</v>
      </c>
      <c r="B166" s="3">
        <f>IFERROR(__xludf.DUMMYFUNCTION("""COMPUTED_VALUE"""),12254.80728)</f>
        <v>12254.80728</v>
      </c>
    </row>
    <row r="167">
      <c r="A167" s="2">
        <f>IFERROR(__xludf.DUMMYFUNCTION("""COMPUTED_VALUE"""),46031.99861111111)</f>
        <v>46031.99861</v>
      </c>
      <c r="B167" s="3">
        <f>IFERROR(__xludf.DUMMYFUNCTION("""COMPUTED_VALUE"""),12483.28387)</f>
        <v>12483.28387</v>
      </c>
    </row>
    <row r="168">
      <c r="A168" s="2">
        <f>IFERROR(__xludf.DUMMYFUNCTION("""COMPUTED_VALUE"""),46032.99861111111)</f>
        <v>46032.99861</v>
      </c>
      <c r="B168" s="3">
        <f>IFERROR(__xludf.DUMMYFUNCTION("""COMPUTED_VALUE"""),12255.37497)</f>
        <v>12255.37497</v>
      </c>
    </row>
    <row r="169">
      <c r="A169" s="2">
        <f>IFERROR(__xludf.DUMMYFUNCTION("""COMPUTED_VALUE"""),46033.99861111111)</f>
        <v>46033.99861</v>
      </c>
      <c r="B169" s="3">
        <f>IFERROR(__xludf.DUMMYFUNCTION("""COMPUTED_VALUE"""),12247.44352)</f>
        <v>12247.44352</v>
      </c>
    </row>
    <row r="170">
      <c r="A170" s="2">
        <f>IFERROR(__xludf.DUMMYFUNCTION("""COMPUTED_VALUE"""),46034.99861111111)</f>
        <v>46034.99861</v>
      </c>
      <c r="B170" s="3">
        <f>IFERROR(__xludf.DUMMYFUNCTION("""COMPUTED_VALUE"""),12571.74504)</f>
        <v>12571.74504</v>
      </c>
    </row>
    <row r="171">
      <c r="A171" s="2">
        <f>IFERROR(__xludf.DUMMYFUNCTION("""COMPUTED_VALUE"""),46035.99861111111)</f>
        <v>46035.99861</v>
      </c>
      <c r="B171" s="3">
        <f>IFERROR(__xludf.DUMMYFUNCTION("""COMPUTED_VALUE"""),12559.56513)</f>
        <v>12559.56513</v>
      </c>
    </row>
    <row r="172">
      <c r="A172" s="2">
        <f>IFERROR(__xludf.DUMMYFUNCTION("""COMPUTED_VALUE"""),46036.99861111111)</f>
        <v>46036.99861</v>
      </c>
      <c r="B172" s="3">
        <f>IFERROR(__xludf.DUMMYFUNCTION("""COMPUTED_VALUE"""),13109.92276)</f>
        <v>13109.92276</v>
      </c>
    </row>
    <row r="173">
      <c r="A173" s="2">
        <f>IFERROR(__xludf.DUMMYFUNCTION("""COMPUTED_VALUE"""),46037.99861111111)</f>
        <v>46037.99861</v>
      </c>
      <c r="B173" s="3">
        <f>IFERROR(__xludf.DUMMYFUNCTION("""COMPUTED_VALUE"""),13261.32383)</f>
        <v>13261.32383</v>
      </c>
    </row>
    <row r="174">
      <c r="A174" s="2">
        <f>IFERROR(__xludf.DUMMYFUNCTION("""COMPUTED_VALUE"""),46038.99861111111)</f>
        <v>46038.99861</v>
      </c>
      <c r="B174" s="3">
        <f>IFERROR(__xludf.DUMMYFUNCTION("""COMPUTED_VALUE"""),12886.35363)</f>
        <v>12886.35363</v>
      </c>
    </row>
    <row r="175">
      <c r="A175" s="2">
        <f>IFERROR(__xludf.DUMMYFUNCTION("""COMPUTED_VALUE"""),46039.99861111111)</f>
        <v>46039.99861</v>
      </c>
      <c r="B175" s="3">
        <f>IFERROR(__xludf.DUMMYFUNCTION("""COMPUTED_VALUE"""),13152.13176)</f>
        <v>13152.13176</v>
      </c>
    </row>
    <row r="176">
      <c r="A176" s="2">
        <f>IFERROR(__xludf.DUMMYFUNCTION("""COMPUTED_VALUE"""),46040.99861111111)</f>
        <v>46040.99861</v>
      </c>
      <c r="B176" s="3">
        <f>IFERROR(__xludf.DUMMYFUNCTION("""COMPUTED_VALUE"""),13036.87963)</f>
        <v>13036.87963</v>
      </c>
    </row>
    <row r="177">
      <c r="A177" s="2">
        <f>IFERROR(__xludf.DUMMYFUNCTION("""COMPUTED_VALUE"""),46041.99861111111)</f>
        <v>46041.99861</v>
      </c>
      <c r="B177" s="3">
        <f>IFERROR(__xludf.DUMMYFUNCTION("""COMPUTED_VALUE"""),12542.66656)</f>
        <v>12542.66656</v>
      </c>
    </row>
    <row r="178">
      <c r="A178" s="2">
        <f>IFERROR(__xludf.DUMMYFUNCTION("""COMPUTED_VALUE"""),46042.99861111111)</f>
        <v>46042.99861</v>
      </c>
      <c r="B178" s="3">
        <f>IFERROR(__xludf.DUMMYFUNCTION("""COMPUTED_VALUE"""),12150.65686)</f>
        <v>12150.65686</v>
      </c>
    </row>
    <row r="179">
      <c r="A179" s="2">
        <f>IFERROR(__xludf.DUMMYFUNCTION("""COMPUTED_VALUE"""),46043.99861111111)</f>
        <v>46043.99861</v>
      </c>
      <c r="B179" s="3">
        <f>IFERROR(__xludf.DUMMYFUNCTION("""COMPUTED_VALUE"""),11506.60939)</f>
        <v>11506.60939</v>
      </c>
    </row>
    <row r="180">
      <c r="A180" s="2">
        <f>IFERROR(__xludf.DUMMYFUNCTION("""COMPUTED_VALUE"""),46044.99861111111)</f>
        <v>46044.99861</v>
      </c>
      <c r="B180" s="3">
        <f>IFERROR(__xludf.DUMMYFUNCTION("""COMPUTED_VALUE"""),11845.72129)</f>
        <v>11845.72129</v>
      </c>
    </row>
    <row r="181">
      <c r="A181" s="2">
        <f>IFERROR(__xludf.DUMMYFUNCTION("""COMPUTED_VALUE"""),46045.99861111111)</f>
        <v>46045.99861</v>
      </c>
      <c r="B181" s="3">
        <f>IFERROR(__xludf.DUMMYFUNCTION("""COMPUTED_VALUE"""),11734.85937)</f>
        <v>11734.85937</v>
      </c>
    </row>
    <row r="182">
      <c r="A182" s="2">
        <f>IFERROR(__xludf.DUMMYFUNCTION("""COMPUTED_VALUE"""),46046.99861111111)</f>
        <v>46046.99861</v>
      </c>
      <c r="B182" s="3">
        <f>IFERROR(__xludf.DUMMYFUNCTION("""COMPUTED_VALUE"""),11651.91119)</f>
        <v>11651.91119</v>
      </c>
    </row>
    <row r="183">
      <c r="A183" s="2">
        <f>IFERROR(__xludf.DUMMYFUNCTION("""COMPUTED_VALUE"""),46047.99861111111)</f>
        <v>46047.99861</v>
      </c>
      <c r="B183" s="3">
        <f>IFERROR(__xludf.DUMMYFUNCTION("""COMPUTED_VALUE"""),11625.15629)</f>
        <v>11625.15629</v>
      </c>
    </row>
    <row r="184">
      <c r="A184" s="2">
        <f>IFERROR(__xludf.DUMMYFUNCTION("""COMPUTED_VALUE"""),46048.99861111111)</f>
        <v>46048.99861</v>
      </c>
      <c r="B184" s="3">
        <f>IFERROR(__xludf.DUMMYFUNCTION("""COMPUTED_VALUE"""),10892.96665)</f>
        <v>10892.96665</v>
      </c>
    </row>
    <row r="185">
      <c r="A185" s="2">
        <f>IFERROR(__xludf.DUMMYFUNCTION("""COMPUTED_VALUE"""),46049.99861111111)</f>
        <v>46049.99861</v>
      </c>
      <c r="B185" s="3">
        <f>IFERROR(__xludf.DUMMYFUNCTION("""COMPUTED_VALUE"""),11363.26937)</f>
        <v>11363.26937</v>
      </c>
    </row>
    <row r="186">
      <c r="A186" s="2">
        <f>IFERROR(__xludf.DUMMYFUNCTION("""COMPUTED_VALUE"""),46050.99861111111)</f>
        <v>46050.99861</v>
      </c>
      <c r="B186" s="3">
        <f>IFERROR(__xludf.DUMMYFUNCTION("""COMPUTED_VALUE"""),11694.24384)</f>
        <v>11694.24384</v>
      </c>
    </row>
    <row r="187">
      <c r="A187" s="2">
        <f>IFERROR(__xludf.DUMMYFUNCTION("""COMPUTED_VALUE"""),46051.99861111111)</f>
        <v>46051.99861</v>
      </c>
      <c r="B187" s="3">
        <f>IFERROR(__xludf.DUMMYFUNCTION("""COMPUTED_VALUE"""),11484.34791)</f>
        <v>11484.34791</v>
      </c>
    </row>
    <row r="188">
      <c r="A188" s="2">
        <f>IFERROR(__xludf.DUMMYFUNCTION("""COMPUTED_VALUE"""),46052.99861111111)</f>
        <v>46052.99861</v>
      </c>
      <c r="B188" s="3">
        <f>IFERROR(__xludf.DUMMYFUNCTION("""COMPUTED_VALUE"""),10782.99367)</f>
        <v>10782.99367</v>
      </c>
    </row>
    <row r="189">
      <c r="A189" s="2">
        <f>IFERROR(__xludf.DUMMYFUNCTION("""COMPUTED_VALUE"""),46053.99861111111)</f>
        <v>46053.99861</v>
      </c>
      <c r="B189" s="3">
        <f>IFERROR(__xludf.DUMMYFUNCTION("""COMPUTED_VALUE"""),10760.88907)</f>
        <v>10760.88907</v>
      </c>
    </row>
    <row r="190">
      <c r="A190" s="2">
        <f>IFERROR(__xludf.DUMMYFUNCTION("""COMPUTED_VALUE"""),46054.99861111111)</f>
        <v>46054.99861</v>
      </c>
      <c r="B190" s="3">
        <f>IFERROR(__xludf.DUMMYFUNCTION("""COMPUTED_VALUE"""),9668.146595)</f>
        <v>9668.146595</v>
      </c>
    </row>
    <row r="191">
      <c r="A191" s="2">
        <f>IFERROR(__xludf.DUMMYFUNCTION("""COMPUTED_VALUE"""),46055.99861111111)</f>
        <v>46055.99861</v>
      </c>
      <c r="B191" s="3">
        <f>IFERROR(__xludf.DUMMYFUNCTION("""COMPUTED_VALUE"""),9096.648185)</f>
        <v>9096.648185</v>
      </c>
    </row>
    <row r="192">
      <c r="A192" s="2">
        <f>IFERROR(__xludf.DUMMYFUNCTION("""COMPUTED_VALUE"""),46056.99861111111)</f>
        <v>46056.99861</v>
      </c>
      <c r="B192" s="3">
        <f>IFERROR(__xludf.DUMMYFUNCTION("""COMPUTED_VALUE"""),9446.281432)</f>
        <v>9446.281432</v>
      </c>
    </row>
    <row r="193">
      <c r="A193" s="2">
        <f>IFERROR(__xludf.DUMMYFUNCTION("""COMPUTED_VALUE"""),46057.99861111111)</f>
        <v>46057.99861</v>
      </c>
      <c r="B193" s="3">
        <f>IFERROR(__xludf.DUMMYFUNCTION("""COMPUTED_VALUE"""),8796.281112)</f>
        <v>8796.281112</v>
      </c>
    </row>
    <row r="194">
      <c r="A194" s="2">
        <f>IFERROR(__xludf.DUMMYFUNCTION("""COMPUTED_VALUE"""),46058.99861111111)</f>
        <v>46058.99861</v>
      </c>
      <c r="B194" s="3">
        <f>IFERROR(__xludf.DUMMYFUNCTION("""COMPUTED_VALUE"""),8304.933559)</f>
        <v>8304.933559</v>
      </c>
    </row>
    <row r="195">
      <c r="A195" s="2">
        <f>IFERROR(__xludf.DUMMYFUNCTION("""COMPUTED_VALUE"""),46059.99861111111)</f>
        <v>46059.99861</v>
      </c>
      <c r="B195" s="3">
        <f>IFERROR(__xludf.DUMMYFUNCTION("""COMPUTED_VALUE"""),7083.972541)</f>
        <v>7083.972541</v>
      </c>
    </row>
    <row r="196">
      <c r="A196" s="2">
        <f>IFERROR(__xludf.DUMMYFUNCTION("""COMPUTED_VALUE"""),46060.99861111111)</f>
        <v>46060.99861</v>
      </c>
      <c r="B196" s="3">
        <f>IFERROR(__xludf.DUMMYFUNCTION("""COMPUTED_VALUE"""),7921.811894)</f>
        <v>7921.811894</v>
      </c>
    </row>
    <row r="197">
      <c r="A197" s="2">
        <f>IFERROR(__xludf.DUMMYFUNCTION("""COMPUTED_VALUE"""),46061.99861111111)</f>
        <v>46061.99861</v>
      </c>
      <c r="B197" s="3">
        <f>IFERROR(__xludf.DUMMYFUNCTION("""COMPUTED_VALUE"""),7939.349731)</f>
        <v>7939.349731</v>
      </c>
    </row>
    <row r="198">
      <c r="A198" s="2">
        <f>IFERROR(__xludf.DUMMYFUNCTION("""COMPUTED_VALUE"""),46062.99861111111)</f>
        <v>46062.99861</v>
      </c>
      <c r="B198" s="3">
        <f>IFERROR(__xludf.DUMMYFUNCTION("""COMPUTED_VALUE"""),7906.070246)</f>
        <v>7906.070246</v>
      </c>
    </row>
    <row r="199">
      <c r="A199" s="2">
        <f>IFERROR(__xludf.DUMMYFUNCTION("""COMPUTED_VALUE"""),46063.99861111111)</f>
        <v>46063.99861</v>
      </c>
      <c r="B199" s="3">
        <f>IFERROR(__xludf.DUMMYFUNCTION("""COMPUTED_VALUE"""),7854.41481)</f>
        <v>7854.41481</v>
      </c>
    </row>
    <row r="200">
      <c r="A200" s="2">
        <f>IFERROR(__xludf.DUMMYFUNCTION("""COMPUTED_VALUE"""),46064.99861111111)</f>
        <v>46064.99861</v>
      </c>
      <c r="B200" s="3">
        <f>IFERROR(__xludf.DUMMYFUNCTION("""COMPUTED_VALUE"""),7523.141873)</f>
        <v>7523.141873</v>
      </c>
    </row>
    <row r="201">
      <c r="A201" s="2">
        <f>IFERROR(__xludf.DUMMYFUNCTION("""COMPUTED_VALUE"""),46065.99861111111)</f>
        <v>46065.99861</v>
      </c>
      <c r="B201" s="3">
        <f>IFERROR(__xludf.DUMMYFUNCTION("""COMPUTED_VALUE"""),7176.933232)</f>
        <v>7176.933232</v>
      </c>
    </row>
    <row r="202">
      <c r="A202" s="2">
        <f>IFERROR(__xludf.DUMMYFUNCTION("""COMPUTED_VALUE"""),46066.99861111111)</f>
        <v>46066.99861</v>
      </c>
      <c r="B202" s="3">
        <f>IFERROR(__xludf.DUMMYFUNCTION("""COMPUTED_VALUE"""),7089.037002)</f>
        <v>7089.037002</v>
      </c>
    </row>
    <row r="203">
      <c r="A203" s="2">
        <f>IFERROR(__xludf.DUMMYFUNCTION("""COMPUTED_VALUE"""),46067.99861111111)</f>
        <v>46067.99861</v>
      </c>
      <c r="B203" s="3">
        <f>IFERROR(__xludf.DUMMYFUNCTION("""COMPUTED_VALUE"""),7636.728098)</f>
        <v>7636.728098</v>
      </c>
    </row>
    <row r="204">
      <c r="A204" s="2">
        <f>IFERROR(__xludf.DUMMYFUNCTION("""COMPUTED_VALUE"""),46068.99861111111)</f>
        <v>46068.99861</v>
      </c>
      <c r="B204" s="3">
        <f>IFERROR(__xludf.DUMMYFUNCTION("""COMPUTED_VALUE"""),7982.628568)</f>
        <v>7982.628568</v>
      </c>
    </row>
    <row r="205">
      <c r="A205" s="2">
        <f>IFERROR(__xludf.DUMMYFUNCTION("""COMPUTED_VALUE"""),46069.99861111111)</f>
        <v>46069.99861</v>
      </c>
      <c r="B205" s="3">
        <f>IFERROR(__xludf.DUMMYFUNCTION("""COMPUTED_VALUE"""),7809.879924)</f>
        <v>7809.879924</v>
      </c>
    </row>
    <row r="206">
      <c r="A206" s="2">
        <f>IFERROR(__xludf.DUMMYFUNCTION("""COMPUTED_VALUE"""),46070.99861111111)</f>
        <v>46070.99861</v>
      </c>
      <c r="B206" s="3">
        <f>IFERROR(__xludf.DUMMYFUNCTION("""COMPUTED_VALUE"""),7832.260583)</f>
        <v>7832.260583</v>
      </c>
    </row>
    <row r="207">
      <c r="A207" s="2">
        <f>IFERROR(__xludf.DUMMYFUNCTION("""COMPUTED_VALUE"""),46071.99861111111)</f>
        <v>46071.99861</v>
      </c>
      <c r="B207" s="3">
        <f>IFERROR(__xludf.DUMMYFUNCTION("""COMPUTED_VALUE"""),7731.202715)</f>
        <v>7731.202715</v>
      </c>
    </row>
    <row r="208">
      <c r="A208" s="2">
        <f>IFERROR(__xludf.DUMMYFUNCTION("""COMPUTED_VALUE"""),46072.99861111111)</f>
        <v>46072.99861</v>
      </c>
      <c r="B208" s="3">
        <f>IFERROR(__xludf.DUMMYFUNCTION("""COMPUTED_VALUE"""),7426.249839)</f>
        <v>7426.249839</v>
      </c>
    </row>
    <row r="209">
      <c r="A209" s="2">
        <f>IFERROR(__xludf.DUMMYFUNCTION("""COMPUTED_VALUE"""),46073.99861111111)</f>
        <v>46073.99861</v>
      </c>
      <c r="B209" s="3">
        <f>IFERROR(__xludf.DUMMYFUNCTION("""COMPUTED_VALUE"""),7475.291189)</f>
        <v>7475.291189</v>
      </c>
    </row>
    <row r="210">
      <c r="A210" s="2">
        <f>IFERROR(__xludf.DUMMYFUNCTION("""COMPUTED_VALUE"""),46074.99861111111)</f>
        <v>46074.99861</v>
      </c>
      <c r="B210" s="3">
        <f>IFERROR(__xludf.DUMMYFUNCTION("""COMPUTED_VALUE"""),7678.183085)</f>
        <v>7678.183085</v>
      </c>
    </row>
    <row r="211">
      <c r="A211" s="2">
        <f>IFERROR(__xludf.DUMMYFUNCTION("""COMPUTED_VALUE"""),46075.99861111111)</f>
        <v>46075.99861</v>
      </c>
      <c r="B211" s="3">
        <f>IFERROR(__xludf.DUMMYFUNCTION("""COMPUTED_VALUE"""),7730.35088)</f>
        <v>7730.35088</v>
      </c>
    </row>
    <row r="212">
      <c r="A212" s="2">
        <f>IFERROR(__xludf.DUMMYFUNCTION("""COMPUTED_VALUE"""),46076.99861111111)</f>
        <v>46076.99861</v>
      </c>
      <c r="B212" s="3">
        <f>IFERROR(__xludf.DUMMYFUNCTION("""COMPUTED_VALUE"""),7533.305882)</f>
        <v>7533.305882</v>
      </c>
    </row>
    <row r="213">
      <c r="A213" s="2">
        <f>IFERROR(__xludf.DUMMYFUNCTION("""COMPUTED_VALUE"""),46077.99861111111)</f>
        <v>46077.99861</v>
      </c>
      <c r="B213" s="3">
        <f>IFERROR(__xludf.DUMMYFUNCTION("""COMPUTED_VALUE"""),7070.210994)</f>
        <v>7070.210994</v>
      </c>
    </row>
    <row r="214">
      <c r="A214" s="2">
        <f>IFERROR(__xludf.DUMMYFUNCTION("""COMPUTED_VALUE"""),46078.99861111111)</f>
        <v>46078.99861</v>
      </c>
      <c r="B214" s="3">
        <f>IFERROR(__xludf.DUMMYFUNCTION("""COMPUTED_VALUE"""),7186.52055)</f>
        <v>7186.52055</v>
      </c>
    </row>
    <row r="215">
      <c r="A215" s="2">
        <f>IFERROR(__xludf.DUMMYFUNCTION("""COMPUTED_VALUE"""),46079.99861111111)</f>
        <v>46079.99861</v>
      </c>
      <c r="B215" s="3">
        <f>IFERROR(__xludf.DUMMYFUNCTION("""COMPUTED_VALUE"""),8004.310147)</f>
        <v>8004.310147</v>
      </c>
    </row>
    <row r="216">
      <c r="A216" s="2">
        <f>IFERROR(__xludf.DUMMYFUNCTION("""COMPUTED_VALUE"""),46080.99861111111)</f>
        <v>46080.99861</v>
      </c>
      <c r="B216" s="3">
        <f>IFERROR(__xludf.DUMMYFUNCTION("""COMPUTED_VALUE"""),7825.080452)</f>
        <v>7825.080452</v>
      </c>
    </row>
    <row r="217">
      <c r="A217" s="2">
        <f>IFERROR(__xludf.DUMMYFUNCTION("""COMPUTED_VALUE"""),46081.99861111111)</f>
        <v>46081.99861</v>
      </c>
      <c r="B217" s="3">
        <f>IFERROR(__xludf.DUMMYFUNCTION("""COMPUTED_VALUE"""),7462.111897)</f>
        <v>7462.111897</v>
      </c>
    </row>
    <row r="218">
      <c r="A218" s="2">
        <f>IFERROR(__xludf.DUMMYFUNCTION("""COMPUTED_VALUE"""),46082.99861111111)</f>
        <v>46082.99861</v>
      </c>
      <c r="B218" s="3">
        <f>IFERROR(__xludf.DUMMYFUNCTION("""COMPUTED_VALUE"""),7683.648107)</f>
        <v>7683.648107</v>
      </c>
    </row>
    <row r="219">
      <c r="A219" s="2">
        <f>IFERROR(__xludf.DUMMYFUNCTION("""COMPUTED_VALUE"""),46083.99861111111)</f>
        <v>46083.99861</v>
      </c>
      <c r="B219" s="3">
        <f>IFERROR(__xludf.DUMMYFUNCTION("""COMPUTED_VALUE"""),7652.72247)</f>
        <v>7652.72247</v>
      </c>
    </row>
    <row r="220">
      <c r="A220" s="2">
        <f>IFERROR(__xludf.DUMMYFUNCTION("""COMPUTED_VALUE"""),46084.99861111111)</f>
        <v>46084.99861</v>
      </c>
      <c r="B220" s="3">
        <f>IFERROR(__xludf.DUMMYFUNCTION("""COMPUTED_VALUE"""),7970.603808)</f>
        <v>7970.603808</v>
      </c>
    </row>
    <row r="221">
      <c r="A221" s="2">
        <f>IFERROR(__xludf.DUMMYFUNCTION("""COMPUTED_VALUE"""),46085.99861111111)</f>
        <v>46085.99861</v>
      </c>
      <c r="B221" s="3">
        <f>IFERROR(__xludf.DUMMYFUNCTION("""COMPUTED_VALUE"""),8014.553603)</f>
        <v>8014.553603</v>
      </c>
    </row>
    <row r="222">
      <c r="A222" s="2">
        <f>IFERROR(__xludf.DUMMYFUNCTION("""COMPUTED_VALUE"""),46086.99861111111)</f>
        <v>46086.99861</v>
      </c>
      <c r="B222" s="3">
        <f>IFERROR(__xludf.DUMMYFUNCTION("""COMPUTED_VALUE"""),8342.135014)</f>
        <v>8342.135014</v>
      </c>
    </row>
    <row r="223">
      <c r="A223" s="2">
        <f>IFERROR(__xludf.DUMMYFUNCTION("""COMPUTED_VALUE"""),46087.99861111111)</f>
        <v>46087.99861</v>
      </c>
      <c r="B223" s="3">
        <f>IFERROR(__xludf.DUMMYFUNCTION("""COMPUTED_VALUE"""),8156.989708)</f>
        <v>8156.989708</v>
      </c>
    </row>
    <row r="224">
      <c r="A224" s="2">
        <f>IFERROR(__xludf.DUMMYFUNCTION("""COMPUTED_VALUE"""),46088.99861111111)</f>
        <v>46088.99861</v>
      </c>
      <c r="B224" s="3">
        <f>IFERROR(__xludf.DUMMYFUNCTION("""COMPUTED_VALUE"""),7785.39645)</f>
        <v>7785.39645</v>
      </c>
    </row>
    <row r="225">
      <c r="A225" s="2">
        <f>IFERROR(__xludf.DUMMYFUNCTION("""COMPUTED_VALUE"""),46089.99861111111)</f>
        <v>46089.99861</v>
      </c>
      <c r="B225" s="3">
        <f>IFERROR(__xludf.DUMMYFUNCTION("""COMPUTED_VALUE"""),7647.473762)</f>
        <v>7647.473762</v>
      </c>
    </row>
    <row r="226">
      <c r="A226" s="2">
        <f>IFERROR(__xludf.DUMMYFUNCTION("""COMPUTED_VALUE"""),46090.99861111111)</f>
        <v>46090.99861</v>
      </c>
      <c r="B226" s="3">
        <f>IFERROR(__xludf.DUMMYFUNCTION("""COMPUTED_VALUE"""),7447.321802)</f>
        <v>7447.321802</v>
      </c>
    </row>
    <row r="227">
      <c r="A227" s="2">
        <f>IFERROR(__xludf.DUMMYFUNCTION("""COMPUTED_VALUE"""),46091.99861111111)</f>
        <v>46091.99861</v>
      </c>
      <c r="B227" s="3">
        <f>IFERROR(__xludf.DUMMYFUNCTION("""COMPUTED_VALUE"""),7829.959802)</f>
        <v>7829.959802</v>
      </c>
    </row>
    <row r="228">
      <c r="A228" s="2">
        <f>IFERROR(__xludf.DUMMYFUNCTION("""COMPUTED_VALUE"""),46092.99861111111)</f>
        <v>46092.99861</v>
      </c>
      <c r="B228" s="3">
        <f>IFERROR(__xludf.DUMMYFUNCTION("""COMPUTED_VALUE"""),7917.187655)</f>
        <v>7917.187655</v>
      </c>
    </row>
    <row r="229">
      <c r="A229" s="2">
        <f>IFERROR(__xludf.DUMMYFUNCTION("""COMPUTED_VALUE"""),46093.99861111111)</f>
        <v>46093.99861</v>
      </c>
      <c r="B229" s="3">
        <f>IFERROR(__xludf.DUMMYFUNCTION("""COMPUTED_VALUE"""),7998.30451)</f>
        <v>7998.30451</v>
      </c>
    </row>
    <row r="230">
      <c r="A230" s="2">
        <f>IFERROR(__xludf.DUMMYFUNCTION("""COMPUTED_VALUE"""),46094.99861111111)</f>
        <v>46094.99861</v>
      </c>
      <c r="B230" s="3">
        <f>IFERROR(__xludf.DUMMYFUNCTION("""COMPUTED_VALUE"""),8043.768316)</f>
        <v>8043.768316</v>
      </c>
    </row>
    <row r="231">
      <c r="A231" s="2">
        <f>IFERROR(__xludf.DUMMYFUNCTION("""COMPUTED_VALUE"""),46095.99861111111)</f>
        <v>46095.99861</v>
      </c>
      <c r="B231" s="3">
        <f>IFERROR(__xludf.DUMMYFUNCTION("""COMPUTED_VALUE"""),8159.916388)</f>
        <v>8159.916388</v>
      </c>
    </row>
    <row r="232">
      <c r="A232" s="2">
        <f>IFERROR(__xludf.DUMMYFUNCTION("""COMPUTED_VALUE"""),46096.99861111111)</f>
        <v>46096.99861</v>
      </c>
      <c r="B232" s="3">
        <f>IFERROR(__xludf.DUMMYFUNCTION("""COMPUTED_VALUE"""),8152.020713)</f>
        <v>8152.020713</v>
      </c>
    </row>
    <row r="233">
      <c r="A233" s="2">
        <f>IFERROR(__xludf.DUMMYFUNCTION("""COMPUTED_VALUE"""),46097.99861111111)</f>
        <v>46097.99861</v>
      </c>
      <c r="B233" s="3">
        <f>IFERROR(__xludf.DUMMYFUNCTION("""COMPUTED_VALUE"""),8514.887815)</f>
        <v>8514.887815</v>
      </c>
    </row>
    <row r="234">
      <c r="A234" s="2">
        <f>IFERROR(__xludf.DUMMYFUNCTION("""COMPUTED_VALUE"""),46098.99861111111)</f>
        <v>46098.99861</v>
      </c>
      <c r="B234" s="3">
        <f>IFERROR(__xludf.DUMMYFUNCTION("""COMPUTED_VALUE"""),8889.604472)</f>
        <v>8889.604472</v>
      </c>
    </row>
    <row r="235">
      <c r="A235" s="2">
        <f>IFERROR(__xludf.DUMMYFUNCTION("""COMPUTED_VALUE"""),46099.99861111111)</f>
        <v>46099.99861</v>
      </c>
      <c r="B235" s="3">
        <f>IFERROR(__xludf.DUMMYFUNCTION("""COMPUTED_VALUE"""),8830.322474)</f>
        <v>8830.322474</v>
      </c>
    </row>
    <row r="236">
      <c r="A236" s="2">
        <f>IFERROR(__xludf.DUMMYFUNCTION("""COMPUTED_VALUE"""),46100.99861111111)</f>
        <v>46100.99861</v>
      </c>
      <c r="B236" s="3">
        <f>IFERROR(__xludf.DUMMYFUNCTION("""COMPUTED_VALUE"""),8383.745904)</f>
        <v>8383.745904</v>
      </c>
    </row>
    <row r="237">
      <c r="A237" s="2">
        <f>IFERROR(__xludf.DUMMYFUNCTION("""COMPUTED_VALUE"""),46101.99861111111)</f>
        <v>46101.99861</v>
      </c>
      <c r="B237" s="3">
        <f>IFERROR(__xludf.DUMMYFUNCTION("""COMPUTED_VALUE"""),8349.59914)</f>
        <v>8349.59914</v>
      </c>
    </row>
    <row r="238">
      <c r="A238" s="2">
        <f>IFERROR(__xludf.DUMMYFUNCTION("""COMPUTED_VALUE"""),46102.99861111111)</f>
        <v>46102.99861</v>
      </c>
      <c r="B238" s="3">
        <f>IFERROR(__xludf.DUMMYFUNCTION("""COMPUTED_VALUE"""),8437.018518)</f>
        <v>8437.018518</v>
      </c>
    </row>
    <row r="239">
      <c r="A239" s="2">
        <f>IFERROR(__xludf.DUMMYFUNCTION("""COMPUTED_VALUE"""),46103.99861111111)</f>
        <v>46103.99861</v>
      </c>
      <c r="B239" s="3">
        <f>IFERROR(__xludf.DUMMYFUNCTION("""COMPUTED_VALUE"""),8216.270668)</f>
        <v>8216.270668</v>
      </c>
    </row>
    <row r="240">
      <c r="A240" s="2">
        <f>IFERROR(__xludf.DUMMYFUNCTION("""COMPUTED_VALUE"""),46104.99861111111)</f>
        <v>46104.99861</v>
      </c>
      <c r="B240" s="3">
        <f>IFERROR(__xludf.DUMMYFUNCTION("""COMPUTED_VALUE"""),8032.944755)</f>
        <v>8032.944755</v>
      </c>
    </row>
    <row r="241">
      <c r="A241" s="2">
        <f>IFERROR(__xludf.DUMMYFUNCTION("""COMPUTED_VALUE"""),46105.99861111111)</f>
        <v>46105.99861</v>
      </c>
      <c r="B241" s="3">
        <f>IFERROR(__xludf.DUMMYFUNCTION("""COMPUTED_VALUE"""),8621.661261)</f>
        <v>8621.661261</v>
      </c>
    </row>
    <row r="242">
      <c r="A242" s="2">
        <f>IFERROR(__xludf.DUMMYFUNCTION("""COMPUTED_VALUE"""),46106.99861111111)</f>
        <v>46106.99861</v>
      </c>
      <c r="B242" s="3">
        <f>IFERROR(__xludf.DUMMYFUNCTION("""COMPUTED_VALUE"""),8599.920854)</f>
        <v>8599.920854</v>
      </c>
    </row>
    <row r="243">
      <c r="A243" s="2">
        <f>IFERROR(__xludf.DUMMYFUNCTION("""COMPUTED_VALUE"""),46107.99861111111)</f>
        <v>46107.99861</v>
      </c>
      <c r="B243" s="3">
        <f>IFERROR(__xludf.DUMMYFUNCTION("""COMPUTED_VALUE"""),8648.492371)</f>
        <v>8648.492371</v>
      </c>
    </row>
    <row r="244">
      <c r="A244" s="2">
        <f>IFERROR(__xludf.DUMMYFUNCTION("""COMPUTED_VALUE"""),46108.99861111111)</f>
        <v>46108.99861</v>
      </c>
      <c r="B244" s="3">
        <f>IFERROR(__xludf.DUMMYFUNCTION("""COMPUTED_VALUE"""),8200.762749)</f>
        <v>8200.762749</v>
      </c>
    </row>
    <row r="245">
      <c r="A245" s="2">
        <f>IFERROR(__xludf.DUMMYFUNCTION("""COMPUTED_VALUE"""),46109.99861111111)</f>
        <v>46109.99861</v>
      </c>
      <c r="B245" s="3">
        <f>IFERROR(__xludf.DUMMYFUNCTION("""COMPUTED_VALUE"""),7869.462052)</f>
        <v>7869.462052</v>
      </c>
    </row>
    <row r="246">
      <c r="A246" s="2">
        <f>IFERROR(__xludf.DUMMYFUNCTION("""COMPUTED_VALUE"""),46110.99861111111)</f>
        <v>46110.99861</v>
      </c>
      <c r="B246" s="3">
        <f>IFERROR(__xludf.DUMMYFUNCTION("""COMPUTED_VALUE"""),7773.880019)</f>
        <v>7773.880019</v>
      </c>
    </row>
    <row r="247">
      <c r="A247" s="2">
        <f>IFERROR(__xludf.DUMMYFUNCTION("""COMPUTED_VALUE"""),46111.99861111111)</f>
        <v>46111.99861</v>
      </c>
      <c r="B247" s="3">
        <f>IFERROR(__xludf.DUMMYFUNCTION("""COMPUTED_VALUE"""),7683.089562)</f>
        <v>7683.089562</v>
      </c>
    </row>
    <row r="248">
      <c r="A248" s="2">
        <f>IFERROR(__xludf.DUMMYFUNCTION("""COMPUTED_VALUE"""),46112.99861111111)</f>
        <v>46112.99861</v>
      </c>
      <c r="B248" s="3">
        <f>IFERROR(__xludf.DUMMYFUNCTION("""COMPUTED_VALUE"""),7707.911413)</f>
        <v>7707.911413</v>
      </c>
    </row>
    <row r="249">
      <c r="A249" s="2">
        <f>IFERROR(__xludf.DUMMYFUNCTION("""COMPUTED_VALUE"""),46113.99861111111)</f>
        <v>46113.99861</v>
      </c>
      <c r="B249" s="3">
        <f>IFERROR(__xludf.DUMMYFUNCTION("""COMPUTED_VALUE"""),7699.313408)</f>
        <v>7699.313408</v>
      </c>
    </row>
    <row r="250">
      <c r="A250" s="2">
        <f>IFERROR(__xludf.DUMMYFUNCTION("""COMPUTED_VALUE"""),46114.99861111111)</f>
        <v>46114.99861</v>
      </c>
      <c r="B250" s="3">
        <f>IFERROR(__xludf.DUMMYFUNCTION("""COMPUTED_VALUE"""),7548.470799)</f>
        <v>7548.470799</v>
      </c>
    </row>
    <row r="251">
      <c r="A251" s="2">
        <f>IFERROR(__xludf.DUMMYFUNCTION("""COMPUTED_VALUE"""),46115.99861111111)</f>
        <v>46115.99861</v>
      </c>
      <c r="B251" s="3">
        <f>IFERROR(__xludf.DUMMYFUNCTION("""COMPUTED_VALUE"""),7323.707535)</f>
        <v>7323.707535</v>
      </c>
    </row>
    <row r="252">
      <c r="A252" s="2">
        <f>IFERROR(__xludf.DUMMYFUNCTION("""COMPUTED_VALUE"""),46116.99861111111)</f>
        <v>46116.99861</v>
      </c>
      <c r="B252" s="3">
        <f>IFERROR(__xludf.DUMMYFUNCTION("""COMPUTED_VALUE"""),7455.672748)</f>
        <v>7455.672748</v>
      </c>
    </row>
    <row r="253">
      <c r="A253" s="2">
        <f>IFERROR(__xludf.DUMMYFUNCTION("""COMPUTED_VALUE"""),46117.99861111111)</f>
        <v>46117.99861</v>
      </c>
      <c r="B253" s="3">
        <f>IFERROR(__xludf.DUMMYFUNCTION("""COMPUTED_VALUE"""),7512.92143)</f>
        <v>7512.92143</v>
      </c>
    </row>
    <row r="254">
      <c r="A254" s="2">
        <f>IFERROR(__xludf.DUMMYFUNCTION("""COMPUTED_VALUE"""),46118.99861111111)</f>
        <v>46118.99861</v>
      </c>
      <c r="B254" s="3">
        <f>IFERROR(__xludf.DUMMYFUNCTION("""COMPUTED_VALUE"""),7596.92733)</f>
        <v>7596.92733</v>
      </c>
    </row>
    <row r="255">
      <c r="A255" s="2">
        <f>IFERROR(__xludf.DUMMYFUNCTION("""COMPUTED_VALUE"""),46119.99861111111)</f>
        <v>46119.99861</v>
      </c>
      <c r="B255" s="3">
        <f>IFERROR(__xludf.DUMMYFUNCTION("""COMPUTED_VALUE"""),7440.794965)</f>
        <v>7440.794965</v>
      </c>
    </row>
    <row r="256">
      <c r="A256" s="2">
        <f>IFERROR(__xludf.DUMMYFUNCTION("""COMPUTED_VALUE"""),46120.99861111111)</f>
        <v>46120.99861</v>
      </c>
      <c r="B256" s="3">
        <f>IFERROR(__xludf.DUMMYFUNCTION("""COMPUTED_VALUE"""),7901.297346)</f>
        <v>7901.297346</v>
      </c>
    </row>
    <row r="257">
      <c r="A257" s="2">
        <f>IFERROR(__xludf.DUMMYFUNCTION("""COMPUTED_VALUE"""),46121.99861111111)</f>
        <v>46121.99861</v>
      </c>
      <c r="B257" s="3">
        <f>IFERROR(__xludf.DUMMYFUNCTION("""COMPUTED_VALUE"""),7636.359517)</f>
        <v>7636.359517</v>
      </c>
    </row>
    <row r="258">
      <c r="A258" s="2">
        <f>IFERROR(__xludf.DUMMYFUNCTION("""COMPUTED_VALUE"""),46122.99861111111)</f>
        <v>46122.99861</v>
      </c>
      <c r="B258" s="3">
        <f>IFERROR(__xludf.DUMMYFUNCTION("""COMPUTED_VALUE"""),7756.288436)</f>
        <v>7756.288436</v>
      </c>
    </row>
    <row r="259">
      <c r="A259" s="2">
        <f>IFERROR(__xludf.DUMMYFUNCTION("""COMPUTED_VALUE"""),46123.99861111111)</f>
        <v>46123.99861</v>
      </c>
      <c r="B259" s="3">
        <f>IFERROR(__xludf.DUMMYFUNCTION("""COMPUTED_VALUE"""),7896.258814)</f>
        <v>7896.258814</v>
      </c>
    </row>
    <row r="260">
      <c r="A260" s="2">
        <f>IFERROR(__xludf.DUMMYFUNCTION("""COMPUTED_VALUE"""),46124.99861111111)</f>
        <v>46124.99861</v>
      </c>
      <c r="B260" s="3">
        <f>IFERROR(__xludf.DUMMYFUNCTION("""COMPUTED_VALUE"""),8028.626519)</f>
        <v>8028.626519</v>
      </c>
    </row>
    <row r="261">
      <c r="A261" s="2">
        <f>IFERROR(__xludf.DUMMYFUNCTION("""COMPUTED_VALUE"""),46125.99861111111)</f>
        <v>46125.99861</v>
      </c>
      <c r="B261" s="3">
        <f>IFERROR(__xludf.DUMMYFUNCTION("""COMPUTED_VALUE"""),7741.629758)</f>
        <v>7741.629758</v>
      </c>
    </row>
    <row r="262">
      <c r="A262" s="2">
        <f>IFERROR(__xludf.DUMMYFUNCTION("""COMPUTED_VALUE"""),46126.99861111111)</f>
        <v>46126.99861</v>
      </c>
      <c r="B262" s="3">
        <f>IFERROR(__xludf.DUMMYFUNCTION("""COMPUTED_VALUE"""),8071.812989)</f>
        <v>8071.812989</v>
      </c>
    </row>
    <row r="263">
      <c r="A263" s="2">
        <f>IFERROR(__xludf.DUMMYFUNCTION("""COMPUTED_VALUE"""),46127.99861111111)</f>
        <v>46127.99861</v>
      </c>
      <c r="B263" s="3">
        <f>IFERROR(__xludf.DUMMYFUNCTION("""COMPUTED_VALUE"""),7823.040252)</f>
        <v>7823.040252</v>
      </c>
    </row>
    <row r="264">
      <c r="A264" s="2">
        <f>IFERROR(__xludf.DUMMYFUNCTION("""COMPUTED_VALUE"""),46128.99861111111)</f>
        <v>46128.99861</v>
      </c>
      <c r="B264" s="3">
        <f>IFERROR(__xludf.DUMMYFUNCTION("""COMPUTED_VALUE"""),7901.395048)</f>
        <v>7901.395048</v>
      </c>
    </row>
    <row r="265">
      <c r="A265" s="2">
        <f>IFERROR(__xludf.DUMMYFUNCTION("""COMPUTED_VALUE"""),46129.99861111111)</f>
        <v>46129.99861</v>
      </c>
      <c r="B265" s="3">
        <f>IFERROR(__xludf.DUMMYFUNCTION("""COMPUTED_VALUE"""),8241.503197)</f>
        <v>8241.503197</v>
      </c>
    </row>
    <row r="266">
      <c r="A266" s="2">
        <f>IFERROR(__xludf.DUMMYFUNCTION("""COMPUTED_VALUE"""),46130.99861111111)</f>
        <v>46130.99861</v>
      </c>
      <c r="B266" s="3">
        <f>IFERROR(__xludf.DUMMYFUNCTION("""COMPUTED_VALUE"""),8230.279811)</f>
        <v>8230.279811</v>
      </c>
    </row>
    <row r="267">
      <c r="A267" s="2">
        <f>IFERROR(__xludf.DUMMYFUNCTION("""COMPUTED_VALUE"""),46131.99861111111)</f>
        <v>46131.99861</v>
      </c>
      <c r="B267" s="3">
        <f>IFERROR(__xludf.DUMMYFUNCTION("""COMPUTED_VALUE"""),7982.534104)</f>
        <v>7982.534104</v>
      </c>
    </row>
    <row r="268">
      <c r="A268" s="2">
        <f>IFERROR(__xludf.DUMMYFUNCTION("""COMPUTED_VALUE"""),46132.99861111111)</f>
        <v>46132.99861</v>
      </c>
      <c r="B268" s="3">
        <f>IFERROR(__xludf.DUMMYFUNCTION("""COMPUTED_VALUE"""),7783.251863)</f>
        <v>7783.251863</v>
      </c>
    </row>
    <row r="269">
      <c r="A269" s="2">
        <f>IFERROR(__xludf.DUMMYFUNCTION("""COMPUTED_VALUE"""),46133.99861111111)</f>
        <v>46133.99861</v>
      </c>
      <c r="B269" s="3">
        <f>IFERROR(__xludf.DUMMYFUNCTION("""COMPUTED_VALUE"""),7989.002045)</f>
        <v>7989.002045</v>
      </c>
    </row>
    <row r="270">
      <c r="A270" s="2">
        <f>IFERROR(__xludf.DUMMYFUNCTION("""COMPUTED_VALUE"""),46134.99861111111)</f>
        <v>46134.99861</v>
      </c>
      <c r="B270" s="3">
        <f>IFERROR(__xludf.DUMMYFUNCTION("""COMPUTED_VALUE"""),8069.403753)</f>
        <v>8069.403753</v>
      </c>
    </row>
    <row r="271">
      <c r="A271" s="2">
        <f>IFERROR(__xludf.DUMMYFUNCTION("""COMPUTED_VALUE"""),46135.99861111111)</f>
        <v>46135.99861</v>
      </c>
      <c r="B271" s="3">
        <f>IFERROR(__xludf.DUMMYFUNCTION("""COMPUTED_VALUE"""),8179.926227)</f>
        <v>8179.926227</v>
      </c>
    </row>
    <row r="272">
      <c r="A272" s="2">
        <f>IFERROR(__xludf.DUMMYFUNCTION("""COMPUTED_VALUE"""),46136.99861111111)</f>
        <v>46136.99861</v>
      </c>
      <c r="B272" s="3">
        <f>IFERROR(__xludf.DUMMYFUNCTION("""COMPUTED_VALUE"""),8089.924113)</f>
        <v>8089.924113</v>
      </c>
    </row>
    <row r="273">
      <c r="A273" s="2">
        <f>IFERROR(__xludf.DUMMYFUNCTION("""COMPUTED_VALUE"""),46137.99861111111)</f>
        <v>46137.99861</v>
      </c>
      <c r="B273" s="3">
        <f>IFERROR(__xludf.DUMMYFUNCTION("""COMPUTED_VALUE"""),8126.394828)</f>
        <v>8126.394828</v>
      </c>
    </row>
    <row r="274">
      <c r="A274" s="2">
        <f>IFERROR(__xludf.DUMMYFUNCTION("""COMPUTED_VALUE"""),46138.99861111111)</f>
        <v>46138.99861</v>
      </c>
      <c r="B274" s="3">
        <f>IFERROR(__xludf.DUMMYFUNCTION("""COMPUTED_VALUE"""),8120.455047)</f>
        <v>8120.455047</v>
      </c>
    </row>
    <row r="275">
      <c r="A275" s="2">
        <f>IFERROR(__xludf.DUMMYFUNCTION("""COMPUTED_VALUE"""),46139.99861111111)</f>
        <v>46139.99861</v>
      </c>
      <c r="B275" s="3">
        <f>IFERROR(__xludf.DUMMYFUNCTION("""COMPUTED_VALUE"""),8197.567486)</f>
        <v>8197.567486</v>
      </c>
    </row>
    <row r="276">
      <c r="A276" s="2">
        <f>IFERROR(__xludf.DUMMYFUNCTION("""COMPUTED_VALUE"""),46140.99861111111)</f>
        <v>46140.99861</v>
      </c>
      <c r="B276" s="3">
        <f>IFERROR(__xludf.DUMMYFUNCTION("""COMPUTED_VALUE"""),8028.200427)</f>
        <v>8028.200427</v>
      </c>
    </row>
    <row r="277">
      <c r="A277" s="2">
        <f>IFERROR(__xludf.DUMMYFUNCTION("""COMPUTED_VALUE"""),46141.99861111111)</f>
        <v>46141.99861</v>
      </c>
      <c r="B277" s="3">
        <f>IFERROR(__xludf.DUMMYFUNCTION("""COMPUTED_VALUE"""),7976.54428)</f>
        <v>7976.54428</v>
      </c>
    </row>
    <row r="278">
      <c r="A278" s="2">
        <f>IFERROR(__xludf.DUMMYFUNCTION("""COMPUTED_VALUE"""),46142.99861111111)</f>
        <v>46142.99861</v>
      </c>
      <c r="B278" s="3">
        <f>IFERROR(__xludf.DUMMYFUNCTION("""COMPUTED_VALUE"""),7867.535367)</f>
        <v>7867.535367</v>
      </c>
    </row>
    <row r="279">
      <c r="A279" s="2">
        <f>IFERROR(__xludf.DUMMYFUNCTION("""COMPUTED_VALUE"""),46143.99861111111)</f>
        <v>46143.99861</v>
      </c>
      <c r="B279" s="3">
        <f>IFERROR(__xludf.DUMMYFUNCTION("""COMPUTED_VALUE"""),7868.359136)</f>
        <v>7868.359136</v>
      </c>
    </row>
    <row r="280">
      <c r="A280" s="2">
        <f>IFERROR(__xludf.DUMMYFUNCTION("""COMPUTED_VALUE"""),46144.99861111111)</f>
        <v>46144.99861</v>
      </c>
      <c r="B280" s="3">
        <f>IFERROR(__xludf.DUMMYFUNCTION("""COMPUTED_VALUE"""),7945.60183)</f>
        <v>7945.60183</v>
      </c>
    </row>
    <row r="281">
      <c r="A281" s="2">
        <f>IFERROR(__xludf.DUMMYFUNCTION("""COMPUTED_VALUE"""),46145.99861111111)</f>
        <v>46145.99861</v>
      </c>
      <c r="B281" s="3">
        <f>IFERROR(__xludf.DUMMYFUNCTION("""COMPUTED_VALUE"""),7998.178092)</f>
        <v>7998.178092</v>
      </c>
    </row>
    <row r="282">
      <c r="A282" s="2">
        <f>IFERROR(__xludf.DUMMYFUNCTION("""COMPUTED_VALUE"""),46146.99861111111)</f>
        <v>46146.99861</v>
      </c>
      <c r="B282" s="3">
        <f>IFERROR(__xludf.DUMMYFUNCTION("""COMPUTED_VALUE"""),7992.454178)</f>
        <v>7992.454178</v>
      </c>
    </row>
    <row r="283">
      <c r="A283" s="2">
        <f>IFERROR(__xludf.DUMMYFUNCTION("""COMPUTED_VALUE"""),46147.99861111111)</f>
        <v>46147.99861</v>
      </c>
      <c r="B283" s="3">
        <f>IFERROR(__xludf.DUMMYFUNCTION("""COMPUTED_VALUE"""),8003.900396)</f>
        <v>8003.900396</v>
      </c>
    </row>
    <row r="284">
      <c r="A284" s="2">
        <f>IFERROR(__xludf.DUMMYFUNCTION("""COMPUTED_VALUE"""),46148.99861111111)</f>
        <v>46148.99861</v>
      </c>
      <c r="B284" s="3">
        <f>IFERROR(__xludf.DUMMYFUNCTION("""COMPUTED_VALUE"""),8165.86246)</f>
        <v>8165.86246</v>
      </c>
    </row>
    <row r="285">
      <c r="A285" s="2">
        <f>IFERROR(__xludf.DUMMYFUNCTION("""COMPUTED_VALUE"""),46149.99861111111)</f>
        <v>46149.99861</v>
      </c>
      <c r="B285" s="3">
        <f>IFERROR(__xludf.DUMMYFUNCTION("""COMPUTED_VALUE"""),8402.315639)</f>
        <v>8402.315639</v>
      </c>
    </row>
    <row r="286">
      <c r="A286" s="2">
        <f>IFERROR(__xludf.DUMMYFUNCTION("""COMPUTED_VALUE"""),46150.99861111111)</f>
        <v>46150.99861</v>
      </c>
      <c r="B286" s="3">
        <f>IFERROR(__xludf.DUMMYFUNCTION("""COMPUTED_VALUE"""),8346.938313)</f>
        <v>8346.938313</v>
      </c>
    </row>
    <row r="287">
      <c r="A287" s="2">
        <f>IFERROR(__xludf.DUMMYFUNCTION("""COMPUTED_VALUE"""),46151.99861111111)</f>
        <v>46151.99861</v>
      </c>
      <c r="B287" s="3">
        <f>IFERROR(__xludf.DUMMYFUNCTION("""COMPUTED_VALUE"""),8682.452676)</f>
        <v>8682.452676</v>
      </c>
    </row>
    <row r="288">
      <c r="A288" s="2">
        <f>IFERROR(__xludf.DUMMYFUNCTION("""COMPUTED_VALUE"""),46152.99861111111)</f>
        <v>46152.99861</v>
      </c>
      <c r="B288" s="3">
        <f>IFERROR(__xludf.DUMMYFUNCTION("""COMPUTED_VALUE"""),8795.348436)</f>
        <v>8795.348436</v>
      </c>
    </row>
    <row r="289">
      <c r="A289" s="2">
        <f>IFERROR(__xludf.DUMMYFUNCTION("""COMPUTED_VALUE"""),46153.99861111111)</f>
        <v>46153.99861</v>
      </c>
      <c r="B289" s="3">
        <f>IFERROR(__xludf.DUMMYFUNCTION("""COMPUTED_VALUE"""),9197.791414)</f>
        <v>9197.791414</v>
      </c>
    </row>
    <row r="290">
      <c r="A290" s="2">
        <f>IFERROR(__xludf.DUMMYFUNCTION("""COMPUTED_VALUE"""),46154.99861111111)</f>
        <v>46154.99861</v>
      </c>
      <c r="B290" s="3">
        <f>IFERROR(__xludf.DUMMYFUNCTION("""COMPUTED_VALUE"""),9309.633467)</f>
        <v>9309.633467</v>
      </c>
    </row>
    <row r="291">
      <c r="A291" s="2">
        <f>IFERROR(__xludf.DUMMYFUNCTION("""COMPUTED_VALUE"""),46155.99861111111)</f>
        <v>46155.99861</v>
      </c>
      <c r="B291" s="3">
        <f>IFERROR(__xludf.DUMMYFUNCTION("""COMPUTED_VALUE"""),9022.133036)</f>
        <v>9022.133036</v>
      </c>
    </row>
    <row r="292">
      <c r="A292" s="2">
        <f>IFERROR(__xludf.DUMMYFUNCTION("""COMPUTED_VALUE"""),46156.99861111111)</f>
        <v>46156.99861</v>
      </c>
      <c r="B292" s="3">
        <f>IFERROR(__xludf.DUMMYFUNCTION("""COMPUTED_VALUE"""),8718.166936)</f>
        <v>8718.166936</v>
      </c>
    </row>
    <row r="293">
      <c r="A293" s="2">
        <f>IFERROR(__xludf.DUMMYFUNCTION("""COMPUTED_VALUE"""),46157.99861111111)</f>
        <v>46157.99861</v>
      </c>
      <c r="B293" s="3">
        <f>IFERROR(__xludf.DUMMYFUNCTION("""COMPUTED_VALUE"""),8845.600215)</f>
        <v>8845.600215</v>
      </c>
    </row>
    <row r="294">
      <c r="A294" s="2">
        <f>IFERROR(__xludf.DUMMYFUNCTION("""COMPUTED_VALUE"""),46158.99861111111)</f>
        <v>46158.99861</v>
      </c>
      <c r="B294" s="3">
        <f>IFERROR(__xludf.DUMMYFUNCTION("""COMPUTED_VALUE"""),8559.602114)</f>
        <v>8559.602114</v>
      </c>
    </row>
    <row r="295">
      <c r="A295" s="2">
        <f>IFERROR(__xludf.DUMMYFUNCTION("""COMPUTED_VALUE"""),46159.99861111111)</f>
        <v>46159.99861</v>
      </c>
      <c r="B295" s="3">
        <f>IFERROR(__xludf.DUMMYFUNCTION("""COMPUTED_VALUE"""),8304.905074)</f>
        <v>8304.905074</v>
      </c>
    </row>
    <row r="296">
      <c r="A296" s="2">
        <f>IFERROR(__xludf.DUMMYFUNCTION("""COMPUTED_VALUE"""),46160.99861111111)</f>
        <v>46160.99861</v>
      </c>
      <c r="B296" s="3">
        <f>IFERROR(__xludf.DUMMYFUNCTION("""COMPUTED_VALUE"""),8199.486966)</f>
        <v>8199.486966</v>
      </c>
    </row>
    <row r="297">
      <c r="A297" s="2">
        <f>IFERROR(__xludf.DUMMYFUNCTION("""COMPUTED_VALUE"""),46161.99861111111)</f>
        <v>46161.99861</v>
      </c>
      <c r="B297" s="3">
        <f>IFERROR(__xludf.DUMMYFUNCTION("""COMPUTED_VALUE"""),8237.111022)</f>
        <v>8237.111022</v>
      </c>
    </row>
    <row r="298">
      <c r="A298" s="2">
        <f>IFERROR(__xludf.DUMMYFUNCTION("""COMPUTED_VALUE"""),46162.99861111111)</f>
        <v>46162.99861</v>
      </c>
      <c r="B298" s="3">
        <f>IFERROR(__xludf.DUMMYFUNCTION("""COMPUTED_VALUE"""),8128.57092)</f>
        <v>8128.57092</v>
      </c>
    </row>
    <row r="299">
      <c r="A299" s="2">
        <f>IFERROR(__xludf.DUMMYFUNCTION("""COMPUTED_VALUE"""),46163.99861111111)</f>
        <v>46163.99861</v>
      </c>
      <c r="B299" s="3">
        <f>IFERROR(__xludf.DUMMYFUNCTION("""COMPUTED_VALUE"""),8275.283225)</f>
        <v>8275.283225</v>
      </c>
    </row>
    <row r="300">
      <c r="A300" s="2">
        <f>IFERROR(__xludf.DUMMYFUNCTION("""COMPUTED_VALUE"""),46164.99861111111)</f>
        <v>46164.99861</v>
      </c>
      <c r="B300" s="3">
        <f>IFERROR(__xludf.DUMMYFUNCTION("""COMPUTED_VALUE"""),8344.395272)</f>
        <v>8344.395272</v>
      </c>
    </row>
    <row r="301">
      <c r="A301" s="2">
        <f>IFERROR(__xludf.DUMMYFUNCTION("""COMPUTED_VALUE"""),46165.99861111111)</f>
        <v>46165.99861</v>
      </c>
      <c r="B301" s="3">
        <f>IFERROR(__xludf.DUMMYFUNCTION("""COMPUTED_VALUE"""),8067.293102)</f>
        <v>8067.293102</v>
      </c>
    </row>
    <row r="302">
      <c r="A302" s="2">
        <f>IFERROR(__xludf.DUMMYFUNCTION("""COMPUTED_VALUE"""),46166.99861111111)</f>
        <v>46166.99861</v>
      </c>
      <c r="B302" s="3">
        <f>IFERROR(__xludf.DUMMYFUNCTION("""COMPUTED_VALUE"""),8199.361085)</f>
        <v>8199.361085</v>
      </c>
    </row>
    <row r="303">
      <c r="A303" s="2">
        <f>IFERROR(__xludf.DUMMYFUNCTION("""COMPUTED_VALUE"""),46167.99861111111)</f>
        <v>46167.99861</v>
      </c>
      <c r="B303" s="3">
        <f>IFERROR(__xludf.DUMMYFUNCTION("""COMPUTED_VALUE"""),8119.643955)</f>
        <v>8119.643955</v>
      </c>
    </row>
    <row r="304">
      <c r="A304" s="2">
        <f>IFERROR(__xludf.DUMMYFUNCTION("""COMPUTED_VALUE"""),46168.99861111111)</f>
        <v>46168.99861</v>
      </c>
      <c r="B304" s="3">
        <f>IFERROR(__xludf.DUMMYFUNCTION("""COMPUTED_VALUE"""),8152.155172)</f>
        <v>8152.155172</v>
      </c>
    </row>
    <row r="305">
      <c r="A305" s="2">
        <f>IFERROR(__xludf.DUMMYFUNCTION("""COMPUTED_VALUE"""),46169.99861111111)</f>
        <v>46169.99861</v>
      </c>
      <c r="B305" s="3">
        <f>IFERROR(__xludf.DUMMYFUNCTION("""COMPUTED_VALUE"""),8028.429799)</f>
        <v>8028.429799</v>
      </c>
    </row>
    <row r="306">
      <c r="A306" s="2">
        <f>IFERROR(__xludf.DUMMYFUNCTION("""COMPUTED_VALUE"""),46170.99861111111)</f>
        <v>46170.99861</v>
      </c>
      <c r="B306" s="3">
        <f>IFERROR(__xludf.DUMMYFUNCTION("""COMPUTED_VALUE"""),7911.038807)</f>
        <v>7911.038807</v>
      </c>
    </row>
    <row r="307">
      <c r="A307" s="2">
        <f>IFERROR(__xludf.DUMMYFUNCTION("""COMPUTED_VALUE"""),46171.99861111111)</f>
        <v>46171.99861</v>
      </c>
      <c r="B307" s="3">
        <f>IFERROR(__xludf.DUMMYFUNCTION("""COMPUTED_VALUE"""),7788.141898)</f>
        <v>7788.141898</v>
      </c>
    </row>
    <row r="308">
      <c r="A308" s="2">
        <f>IFERROR(__xludf.DUMMYFUNCTION("""COMPUTED_VALUE"""),46172.99861111111)</f>
        <v>46172.99861</v>
      </c>
      <c r="B308" s="3">
        <f>IFERROR(__xludf.DUMMYFUNCTION("""COMPUTED_VALUE"""),7783.719293)</f>
        <v>7783.719293</v>
      </c>
    </row>
    <row r="309">
      <c r="A309" s="2">
        <f>IFERROR(__xludf.DUMMYFUNCTION("""COMPUTED_VALUE"""),46173.99861111111)</f>
        <v>46173.99861</v>
      </c>
      <c r="B309" s="3">
        <f>IFERROR(__xludf.DUMMYFUNCTION("""COMPUTED_VALUE"""),7842.754158)</f>
        <v>7842.754158</v>
      </c>
    </row>
    <row r="310">
      <c r="A310" s="2">
        <f>IFERROR(__xludf.DUMMYFUNCTION("""COMPUTED_VALUE"""),46174.99861111111)</f>
        <v>46174.99861</v>
      </c>
      <c r="B310" s="3">
        <f>IFERROR(__xludf.DUMMYFUNCTION("""COMPUTED_VALUE"""),7863.58401)</f>
        <v>7863.58401</v>
      </c>
    </row>
    <row r="311">
      <c r="A311" s="2">
        <f>IFERROR(__xludf.DUMMYFUNCTION("""COMPUTED_VALUE"""),46175.99861111111)</f>
        <v>46175.99861</v>
      </c>
      <c r="B311" s="3">
        <f>IFERROR(__xludf.DUMMYFUNCTION("""COMPUTED_VALUE"""),7725.962668)</f>
        <v>7725.962668</v>
      </c>
    </row>
    <row r="312">
      <c r="A312" s="2">
        <f>IFERROR(__xludf.DUMMYFUNCTION("""COMPUTED_VALUE"""),46176.99861111111)</f>
        <v>46176.99861</v>
      </c>
      <c r="B312" s="3">
        <f>IFERROR(__xludf.DUMMYFUNCTION("""COMPUTED_VALUE"""),7128.722467)</f>
        <v>7128.722467</v>
      </c>
    </row>
    <row r="313">
      <c r="A313" s="2">
        <f>IFERROR(__xludf.DUMMYFUNCTION("""COMPUTED_VALUE"""),46177.99861111111)</f>
        <v>46177.99861</v>
      </c>
      <c r="B313" s="3">
        <f>IFERROR(__xludf.DUMMYFUNCTION("""COMPUTED_VALUE"""),6858.968641)</f>
        <v>6858.968641</v>
      </c>
    </row>
    <row r="314">
      <c r="A314" s="2">
        <f>IFERROR(__xludf.DUMMYFUNCTION("""COMPUTED_VALUE"""),46178.99861111111)</f>
        <v>46178.99861</v>
      </c>
      <c r="B314" s="3">
        <f>IFERROR(__xludf.DUMMYFUNCTION("""COMPUTED_VALUE"""),6555.977778)</f>
        <v>6555.977778</v>
      </c>
    </row>
    <row r="315">
      <c r="A315" s="2">
        <f>IFERROR(__xludf.DUMMYFUNCTION("""COMPUTED_VALUE"""),46179.99861111111)</f>
        <v>46179.99861</v>
      </c>
      <c r="B315" s="3">
        <f>IFERROR(__xludf.DUMMYFUNCTION("""COMPUTED_VALUE"""),6031.804744)</f>
        <v>6031.804744</v>
      </c>
    </row>
    <row r="316">
      <c r="A316" s="2">
        <f>IFERROR(__xludf.DUMMYFUNCTION("""COMPUTED_VALUE"""),46180.99861111111)</f>
        <v>46180.99861</v>
      </c>
      <c r="B316" s="3">
        <f>IFERROR(__xludf.DUMMYFUNCTION("""COMPUTED_VALUE"""),5904.598345)</f>
        <v>5904.598345</v>
      </c>
    </row>
    <row r="317">
      <c r="A317" s="2">
        <f>IFERROR(__xludf.DUMMYFUNCTION("""COMPUTED_VALUE"""),46181.99861111111)</f>
        <v>46181.99861</v>
      </c>
      <c r="B317" s="3">
        <f>IFERROR(__xludf.DUMMYFUNCTION("""COMPUTED_VALUE"""),6348.478538)</f>
        <v>6348.478538</v>
      </c>
    </row>
    <row r="318">
      <c r="A318" s="2">
        <f>IFERROR(__xludf.DUMMYFUNCTION("""COMPUTED_VALUE"""),46182.99861111111)</f>
        <v>46182.99861</v>
      </c>
      <c r="B318" s="3">
        <f>IFERROR(__xludf.DUMMYFUNCTION("""COMPUTED_VALUE"""),6369.457734)</f>
        <v>6369.457734</v>
      </c>
    </row>
    <row r="319">
      <c r="A319" s="2">
        <f>IFERROR(__xludf.DUMMYFUNCTION("""COMPUTED_VALUE"""),46183.99861111111)</f>
        <v>46183.99861</v>
      </c>
      <c r="B319" s="3">
        <f>IFERROR(__xludf.DUMMYFUNCTION("""COMPUTED_VALUE"""),6212.923253)</f>
        <v>6212.923253</v>
      </c>
    </row>
    <row r="320">
      <c r="A320" s="2">
        <f>IFERROR(__xludf.DUMMYFUNCTION("""COMPUTED_VALUE"""),46184.99861111111)</f>
        <v>46184.99861</v>
      </c>
      <c r="B320" s="3">
        <f>IFERROR(__xludf.DUMMYFUNCTION("""COMPUTED_VALUE"""),6048.859084)</f>
        <v>6048.859084</v>
      </c>
    </row>
    <row r="321">
      <c r="A321" s="2">
        <f>IFERROR(__xludf.DUMMYFUNCTION("""COMPUTED_VALUE"""),46185.99861111111)</f>
        <v>46185.99861</v>
      </c>
      <c r="B321" s="3">
        <f>IFERROR(__xludf.DUMMYFUNCTION("""COMPUTED_VALUE"""),6358.692612)</f>
        <v>6358.692612</v>
      </c>
    </row>
    <row r="322">
      <c r="A322" s="2">
        <f>IFERROR(__xludf.DUMMYFUNCTION("""COMPUTED_VALUE"""),46186.99861111111)</f>
        <v>46186.99861</v>
      </c>
      <c r="B322" s="3">
        <f>IFERROR(__xludf.DUMMYFUNCTION("""COMPUTED_VALUE"""),6348.809991)</f>
        <v>6348.809991</v>
      </c>
    </row>
    <row r="323">
      <c r="A323" s="2">
        <f>IFERROR(__xludf.DUMMYFUNCTION("""COMPUTED_VALUE"""),46187.99861111111)</f>
        <v>46187.99861</v>
      </c>
      <c r="B323" s="3">
        <f>IFERROR(__xludf.DUMMYFUNCTION("""COMPUTED_VALUE"""),6550.217827)</f>
        <v>6550.217827</v>
      </c>
    </row>
    <row r="324">
      <c r="A324" s="2">
        <f>IFERROR(__xludf.DUMMYFUNCTION("""COMPUTED_VALUE"""),46188.99861111111)</f>
        <v>46188.99861</v>
      </c>
      <c r="B324" s="3">
        <f>IFERROR(__xludf.DUMMYFUNCTION("""COMPUTED_VALUE"""),6744.993218)</f>
        <v>6744.993218</v>
      </c>
    </row>
    <row r="325">
      <c r="A325" s="2">
        <f>IFERROR(__xludf.DUMMYFUNCTION("""COMPUTED_VALUE"""),46189.99861111111)</f>
        <v>46189.99861</v>
      </c>
      <c r="B325" s="3">
        <f>IFERROR(__xludf.DUMMYFUNCTION("""COMPUTED_VALUE"""),7019.289296)</f>
        <v>7019.289296</v>
      </c>
    </row>
    <row r="326">
      <c r="A326" s="2">
        <f>IFERROR(__xludf.DUMMYFUNCTION("""COMPUTED_VALUE"""),46190.99861111111)</f>
        <v>46190.99861</v>
      </c>
      <c r="B326" s="3">
        <f>IFERROR(__xludf.DUMMYFUNCTION("""COMPUTED_VALUE"""),6964.739641)</f>
        <v>6964.739641</v>
      </c>
    </row>
    <row r="327">
      <c r="A327" s="2">
        <f>IFERROR(__xludf.DUMMYFUNCTION("""COMPUTED_VALUE"""),46191.99861111111)</f>
        <v>46191.99861</v>
      </c>
      <c r="B327" s="3">
        <f>IFERROR(__xludf.DUMMYFUNCTION("""COMPUTED_VALUE"""),6786.378442)</f>
        <v>6786.378442</v>
      </c>
    </row>
    <row r="328">
      <c r="A328" s="2">
        <f>IFERROR(__xludf.DUMMYFUNCTION("""COMPUTED_VALUE"""),46192.99861111111)</f>
        <v>46192.99861</v>
      </c>
      <c r="B328" s="3">
        <f>IFERROR(__xludf.DUMMYFUNCTION("""COMPUTED_VALUE"""),6567.153984)</f>
        <v>6567.153984</v>
      </c>
    </row>
    <row r="329">
      <c r="A329" s="2">
        <f>IFERROR(__xludf.DUMMYFUNCTION("""COMPUTED_VALUE"""),46193.99861111111)</f>
        <v>46193.99861</v>
      </c>
      <c r="B329" s="3">
        <f>IFERROR(__xludf.DUMMYFUNCTION("""COMPUTED_VALUE"""),6575.746809)</f>
        <v>6575.746809</v>
      </c>
    </row>
    <row r="330">
      <c r="A330" s="2">
        <f>IFERROR(__xludf.DUMMYFUNCTION("""COMPUTED_VALUE"""),46194.99861111111)</f>
        <v>46194.99861</v>
      </c>
      <c r="B330" s="3">
        <f>IFERROR(__xludf.DUMMYFUNCTION("""COMPUTED_VALUE"""),6902.402742)</f>
        <v>6902.402742</v>
      </c>
    </row>
    <row r="331">
      <c r="A331" s="2">
        <f>IFERROR(__xludf.DUMMYFUNCTION("""COMPUTED_VALUE"""),46195.99861111111)</f>
        <v>46195.99861</v>
      </c>
      <c r="B331" s="3">
        <f>IFERROR(__xludf.DUMMYFUNCTION("""COMPUTED_VALUE"""),6858.435263)</f>
        <v>6858.435263</v>
      </c>
    </row>
    <row r="332">
      <c r="A332" s="2">
        <f>IFERROR(__xludf.DUMMYFUNCTION("""COMPUTED_VALUE"""),46196.99861111111)</f>
        <v>46196.99861</v>
      </c>
      <c r="B332" s="3">
        <f>IFERROR(__xludf.DUMMYFUNCTION("""COMPUTED_VALUE"""),6844.336242)</f>
        <v>6844.336242</v>
      </c>
    </row>
    <row r="333">
      <c r="A333" s="2">
        <f>IFERROR(__xludf.DUMMYFUNCTION("""COMPUTED_VALUE"""),46197.99861111111)</f>
        <v>46197.99861</v>
      </c>
      <c r="B333" s="3">
        <f>IFERROR(__xludf.DUMMYFUNCTION("""COMPUTED_VALUE"""),6576.567025)</f>
        <v>6576.567025</v>
      </c>
    </row>
    <row r="334">
      <c r="A334" s="2">
        <f>IFERROR(__xludf.DUMMYFUNCTION("""COMPUTED_VALUE"""),46198.99861111111)</f>
        <v>46198.99861</v>
      </c>
      <c r="B334" s="3">
        <f>IFERROR(__xludf.DUMMYFUNCTION("""COMPUTED_VALUE"""),6416.86719)</f>
        <v>6416.86719</v>
      </c>
    </row>
    <row r="335">
      <c r="A335" s="2">
        <f>IFERROR(__xludf.DUMMYFUNCTION("""COMPUTED_VALUE"""),46199.99861111111)</f>
        <v>46199.99861</v>
      </c>
      <c r="B335" s="3">
        <f>IFERROR(__xludf.DUMMYFUNCTION("""COMPUTED_VALUE"""),6372.37908)</f>
        <v>6372.37908</v>
      </c>
    </row>
    <row r="336">
      <c r="A336" s="2">
        <f>IFERROR(__xludf.DUMMYFUNCTION("""COMPUTED_VALUE"""),46200.99861111111)</f>
        <v>46200.99861</v>
      </c>
      <c r="B336" s="3">
        <f>IFERROR(__xludf.DUMMYFUNCTION("""COMPUTED_VALUE"""),6777.564696)</f>
        <v>6777.564696</v>
      </c>
    </row>
    <row r="337">
      <c r="A337" s="2">
        <f>IFERROR(__xludf.DUMMYFUNCTION("""COMPUTED_VALUE"""),46201.99861111111)</f>
        <v>46201.99861</v>
      </c>
      <c r="B337" s="3">
        <f>IFERROR(__xludf.DUMMYFUNCTION("""COMPUTED_VALUE"""),6644.078571)</f>
        <v>6644.078571</v>
      </c>
    </row>
    <row r="338">
      <c r="A338" s="2">
        <f>IFERROR(__xludf.DUMMYFUNCTION("""COMPUTED_VALUE"""),46202.99861111111)</f>
        <v>46202.99861</v>
      </c>
      <c r="B338" s="3">
        <f>IFERROR(__xludf.DUMMYFUNCTION("""COMPUTED_VALUE"""),6759.065039)</f>
        <v>6759.065039</v>
      </c>
    </row>
    <row r="339">
      <c r="A339" s="2">
        <f>IFERROR(__xludf.DUMMYFUNCTION("""COMPUTED_VALUE"""),46203.99861111111)</f>
        <v>46203.99861</v>
      </c>
      <c r="B339" s="3">
        <f>IFERROR(__xludf.DUMMYFUNCTION("""COMPUTED_VALUE"""),7114.407837)</f>
        <v>7114.407837</v>
      </c>
    </row>
    <row r="340">
      <c r="A340" s="2">
        <f>IFERROR(__xludf.DUMMYFUNCTION("""COMPUTED_VALUE"""),46204.99861111111)</f>
        <v>46204.99861</v>
      </c>
      <c r="B340" s="3">
        <f>IFERROR(__xludf.DUMMYFUNCTION("""COMPUTED_VALUE"""),7016.106025)</f>
        <v>7016.106025</v>
      </c>
    </row>
    <row r="341">
      <c r="A341" s="2">
        <f>IFERROR(__xludf.DUMMYFUNCTION("""COMPUTED_VALUE"""),46205.99861111111)</f>
        <v>46205.99861</v>
      </c>
      <c r="B341" s="3">
        <f>IFERROR(__xludf.DUMMYFUNCTION("""COMPUTED_VALUE"""),7391.734154)</f>
        <v>7391.734154</v>
      </c>
    </row>
    <row r="342">
      <c r="A342" s="2">
        <f>IFERROR(__xludf.DUMMYFUNCTION("""COMPUTED_VALUE"""),46206.99861111111)</f>
        <v>46206.99861</v>
      </c>
      <c r="B342" s="3">
        <f>IFERROR(__xludf.DUMMYFUNCTION("""COMPUTED_VALUE"""),7702.51348)</f>
        <v>7702.51348</v>
      </c>
    </row>
    <row r="343">
      <c r="A343" s="2">
        <f>IFERROR(__xludf.DUMMYFUNCTION("""COMPUTED_VALUE"""),46207.99861111111)</f>
        <v>46207.99861</v>
      </c>
      <c r="B343" s="3">
        <f>IFERROR(__xludf.DUMMYFUNCTION("""COMPUTED_VALUE"""),7834.142676)</f>
        <v>7834.142676</v>
      </c>
    </row>
    <row r="344">
      <c r="A344" s="2">
        <f>IFERROR(__xludf.DUMMYFUNCTION("""COMPUTED_VALUE"""),46208.99861111111)</f>
        <v>46208.99861</v>
      </c>
      <c r="B344" s="3">
        <f>IFERROR(__xludf.DUMMYFUNCTION("""COMPUTED_VALUE"""),7774.136076)</f>
        <v>7774.136076</v>
      </c>
    </row>
    <row r="345">
      <c r="A345" s="2">
        <f>IFERROR(__xludf.DUMMYFUNCTION("""COMPUTED_VALUE"""),46209.99861111111)</f>
        <v>46209.99861</v>
      </c>
      <c r="B345" s="3">
        <f>IFERROR(__xludf.DUMMYFUNCTION("""COMPUTED_VALUE"""),7785.910798)</f>
        <v>7785.910798</v>
      </c>
    </row>
    <row r="346">
      <c r="A346" s="2">
        <f>IFERROR(__xludf.DUMMYFUNCTION("""COMPUTED_VALUE"""),46210.99861111111)</f>
        <v>46210.99861</v>
      </c>
      <c r="B346" s="3">
        <f>IFERROR(__xludf.DUMMYFUNCTION("""COMPUTED_VALUE"""),7829.81641)</f>
        <v>7829.81641</v>
      </c>
    </row>
    <row r="347">
      <c r="A347" s="2">
        <f>IFERROR(__xludf.DUMMYFUNCTION("""COMPUTED_VALUE"""),46211.99861111111)</f>
        <v>46211.99861</v>
      </c>
      <c r="B347" s="3">
        <f>IFERROR(__xludf.DUMMYFUNCTION("""COMPUTED_VALUE"""),7728.320798)</f>
        <v>7728.320798</v>
      </c>
    </row>
    <row r="348">
      <c r="A348" s="2">
        <f>IFERROR(__xludf.DUMMYFUNCTION("""COMPUTED_VALUE"""),46212.99861111111)</f>
        <v>46212.99861</v>
      </c>
      <c r="B348" s="3">
        <f>IFERROR(__xludf.DUMMYFUNCTION("""COMPUTED_VALUE"""),7419.869472)</f>
        <v>7419.869472</v>
      </c>
    </row>
    <row r="349">
      <c r="A349" s="2">
        <f>IFERROR(__xludf.DUMMYFUNCTION("""COMPUTED_VALUE"""),46213.99861111111)</f>
        <v>46213.99861</v>
      </c>
      <c r="B349" s="3">
        <f>IFERROR(__xludf.DUMMYFUNCTION("""COMPUTED_VALUE"""),7454.927348)</f>
        <v>7454.927348</v>
      </c>
    </row>
    <row r="350">
      <c r="A350" s="2">
        <f>IFERROR(__xludf.DUMMYFUNCTION("""COMPUTED_VALUE"""),46214.99861111111)</f>
        <v>46214.99861</v>
      </c>
      <c r="B350" s="3">
        <f>IFERROR(__xludf.DUMMYFUNCTION("""COMPUTED_VALUE"""),7441.008703)</f>
        <v>7441.008703</v>
      </c>
    </row>
    <row r="351">
      <c r="A351" s="2">
        <f>IFERROR(__xludf.DUMMYFUNCTION("""COMPUTED_VALUE"""),46215.99861111111)</f>
        <v>46215.99861</v>
      </c>
      <c r="B351" s="3">
        <f>IFERROR(__xludf.DUMMYFUNCTION("""COMPUTED_VALUE"""),7322.14203)</f>
        <v>7322.14203</v>
      </c>
    </row>
    <row r="352">
      <c r="A352" s="2">
        <f>IFERROR(__xludf.DUMMYFUNCTION("""COMPUTED_VALUE"""),46216.99861111111)</f>
        <v>46216.99861</v>
      </c>
      <c r="B352" s="3">
        <f>IFERROR(__xludf.DUMMYFUNCTION("""COMPUTED_VALUE"""),7402.323104)</f>
        <v>7402.323104</v>
      </c>
    </row>
    <row r="353">
      <c r="A353" s="2">
        <f>IFERROR(__xludf.DUMMYFUNCTION("""COMPUTED_VALUE"""),46217.99861111111)</f>
        <v>46217.99861</v>
      </c>
      <c r="B353" s="3">
        <f>IFERROR(__xludf.DUMMYFUNCTION("""COMPUTED_VALUE"""),7218.976509)</f>
        <v>7218.976509</v>
      </c>
    </row>
    <row r="354">
      <c r="A354" s="2">
        <f>IFERROR(__xludf.DUMMYFUNCTION("""COMPUTED_VALUE"""),46218.99861111111)</f>
        <v>46218.99861</v>
      </c>
      <c r="B354" s="3">
        <f>IFERROR(__xludf.DUMMYFUNCTION("""COMPUTED_VALUE"""),7504.483825)</f>
        <v>7504.483825</v>
      </c>
    </row>
    <row r="355">
      <c r="A355" s="2">
        <f>IFERROR(__xludf.DUMMYFUNCTION("""COMPUTED_VALUE"""),46219.99861111111)</f>
        <v>46219.99861</v>
      </c>
      <c r="B355" s="3">
        <f>IFERROR(__xludf.DUMMYFUNCTION("""COMPUTED_VALUE"""),7467.725915)</f>
        <v>7467.725915</v>
      </c>
    </row>
    <row r="356">
      <c r="A356" s="2">
        <f>IFERROR(__xludf.DUMMYFUNCTION("""COMPUTED_VALUE"""),46220.99861111111)</f>
        <v>46220.99861</v>
      </c>
      <c r="B356" s="3">
        <f>IFERROR(__xludf.DUMMYFUNCTION("""COMPUTED_VALUE"""),7265.639629)</f>
        <v>7265.639629</v>
      </c>
    </row>
    <row r="357">
      <c r="A357" s="2">
        <f>IFERROR(__xludf.DUMMYFUNCTION("""COMPUTED_VALUE"""),46221.99861111111)</f>
        <v>46221.99861</v>
      </c>
      <c r="B357" s="3">
        <f>IFERROR(__xludf.DUMMYFUNCTION("""COMPUTED_VALUE"""),7221.475807)</f>
        <v>7221.475807</v>
      </c>
    </row>
    <row r="358">
      <c r="A358" s="2">
        <f>IFERROR(__xludf.DUMMYFUNCTION("""COMPUTED_VALUE"""),46222.99861111111)</f>
        <v>46222.99861</v>
      </c>
      <c r="B358" s="3">
        <f>IFERROR(__xludf.DUMMYFUNCTION("""COMPUTED_VALUE"""),7265.689521)</f>
        <v>7265.689521</v>
      </c>
    </row>
    <row r="359">
      <c r="A359" s="2">
        <f>IFERROR(__xludf.DUMMYFUNCTION("""COMPUTED_VALUE"""),46223.99861111111)</f>
        <v>46223.99861</v>
      </c>
      <c r="B359" s="3">
        <f>IFERROR(__xludf.DUMMYFUNCTION("""COMPUTED_VALUE"""),7365.948521)</f>
        <v>7365.948521</v>
      </c>
    </row>
    <row r="360">
      <c r="A360" s="2">
        <f>IFERROR(__xludf.DUMMYFUNCTION("""COMPUTED_VALUE"""),46224.99861111111)</f>
        <v>46224.99861</v>
      </c>
      <c r="B360" s="3">
        <f>IFERROR(__xludf.DUMMYFUNCTION("""COMPUTED_VALUE"""),7494.358611)</f>
        <v>7494.358611</v>
      </c>
    </row>
    <row r="361">
      <c r="A361" s="2">
        <f>IFERROR(__xludf.DUMMYFUNCTION("""COMPUTED_VALUE"""),46225.99861111111)</f>
        <v>46225.99861</v>
      </c>
      <c r="B361" s="3">
        <f>IFERROR(__xludf.DUMMYFUNCTION("""COMPUTED_VALUE"""),7541.843343)</f>
        <v>7541.843343</v>
      </c>
    </row>
    <row r="362">
      <c r="A362" s="2">
        <f>IFERROR(__xludf.DUMMYFUNCTION("""COMPUTED_VALUE"""),46226.99861111111)</f>
        <v>46226.99861</v>
      </c>
      <c r="B362" s="3">
        <f>IFERROR(__xludf.DUMMYFUNCTION("""COMPUTED_VALUE"""),7547.098017)</f>
        <v>7547.098017</v>
      </c>
    </row>
    <row r="363">
      <c r="A363" s="2">
        <f>IFERROR(__xludf.DUMMYFUNCTION("""COMPUTED_VALUE"""),46227.99861111111)</f>
        <v>46227.99861</v>
      </c>
      <c r="B363" s="3">
        <f>IFERROR(__xludf.DUMMYFUNCTION("""COMPUTED_VALUE"""),7311.711816)</f>
        <v>7311.711816</v>
      </c>
    </row>
    <row r="364">
      <c r="A364" s="2">
        <f>IFERROR(__xludf.DUMMYFUNCTION("""COMPUTED_VALUE"""),46228.99861111111)</f>
        <v>46228.99861</v>
      </c>
      <c r="B364" s="3">
        <f>IFERROR(__xludf.DUMMYFUNCTION("""COMPUTED_VALUE"""),7134.065232)</f>
        <v>7134.065232</v>
      </c>
    </row>
    <row r="365">
      <c r="A365" s="2">
        <f>IFERROR(__xludf.DUMMYFUNCTION("""COMPUTED_VALUE"""),46229.99861111111)</f>
        <v>46229.99861</v>
      </c>
      <c r="B365" s="3">
        <f>IFERROR(__xludf.DUMMYFUNCTION("""COMPUTED_VALUE"""),7187.571736)</f>
        <v>7187.571736</v>
      </c>
    </row>
    <row r="366">
      <c r="A366" s="2">
        <f>IFERROR(__xludf.DUMMYFUNCTION("""COMPUTED_VALUE"""),46230.99861111111)</f>
        <v>46230.99861</v>
      </c>
      <c r="B366" s="3">
        <f>IFERROR(__xludf.DUMMYFUNCTION("""COMPUTED_VALUE"""),7337.560278)</f>
        <v>7337.560278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6</v>
      </c>
      <c r="B2" s="9">
        <f>Bitcoin!B2</f>
        <v>10351153.2</v>
      </c>
      <c r="C2" s="10">
        <f t="array" ref="C2">INDEX(Bitcoin!B:B, COUNTA(Bitcoin!B:B))</f>
        <v>6247126.178</v>
      </c>
      <c r="D2" s="11">
        <f t="shared" ref="D2:D4" si="1">(C2-B2)/B2</f>
        <v>-0.396480174</v>
      </c>
      <c r="E2" s="10">
        <f>MAX(Bitcoin!B2:B1000)</f>
        <v>11031645.85</v>
      </c>
      <c r="F2" s="10">
        <f>MIN(Bitcoin!B2:B1000)</f>
        <v>5639316.422</v>
      </c>
    </row>
    <row r="3">
      <c r="A3" s="8" t="s">
        <v>7</v>
      </c>
      <c r="B3" s="9">
        <f>Ethereum!B2</f>
        <v>336552.5302</v>
      </c>
      <c r="C3" s="10">
        <f t="array" ref="C3">INDEX(Ethereum!B:B, COUNTA(Ethereum!B:B))</f>
        <v>186476.7164</v>
      </c>
      <c r="D3" s="11">
        <f t="shared" si="1"/>
        <v>-0.4459209197</v>
      </c>
      <c r="E3" s="10">
        <f>MAX(Ethereum!B2:B1000)</f>
        <v>419789.1427</v>
      </c>
      <c r="F3" s="10">
        <f>MIN(Ethereum!B2:B1000)</f>
        <v>146702.7939</v>
      </c>
    </row>
    <row r="4">
      <c r="A4" s="8" t="s">
        <v>8</v>
      </c>
      <c r="B4" s="9">
        <f>Solana!B2</f>
        <v>16378.28273</v>
      </c>
      <c r="C4" s="10">
        <f t="array" ref="C4">INDEX(Solana!B:B, COUNTA(Solana!B:B))</f>
        <v>7337.560278</v>
      </c>
      <c r="D4" s="11">
        <f t="shared" si="1"/>
        <v>-0.5519945284</v>
      </c>
      <c r="E4" s="10">
        <f>MAX(Solana!B2:B1000)</f>
        <v>21815.44272</v>
      </c>
      <c r="F4" s="10">
        <f>MIN(Solana!B2:B1000)</f>
        <v>5904.598345</v>
      </c>
    </row>
    <row r="5">
      <c r="B5" s="9"/>
      <c r="C5" s="10"/>
      <c r="D5" s="11"/>
      <c r="E5" s="10"/>
      <c r="F5" s="10"/>
    </row>
    <row r="6">
      <c r="B6" s="9"/>
      <c r="C6" s="10"/>
      <c r="D6" s="11"/>
      <c r="E6" s="10"/>
      <c r="F6" s="10"/>
    </row>
    <row r="7">
      <c r="B7" s="9"/>
      <c r="C7" s="10"/>
      <c r="D7" s="11"/>
      <c r="E7" s="10"/>
      <c r="F7" s="10"/>
    </row>
    <row r="8">
      <c r="B8" s="9"/>
      <c r="C8" s="10"/>
      <c r="D8" s="11"/>
      <c r="E8" s="10"/>
      <c r="F8" s="10"/>
    </row>
    <row r="9">
      <c r="B9" s="9"/>
      <c r="C9" s="10"/>
      <c r="D9" s="11"/>
      <c r="E9" s="10"/>
      <c r="F9" s="10"/>
    </row>
    <row r="10">
      <c r="B10" s="9"/>
      <c r="C10" s="10"/>
      <c r="D10" s="11"/>
      <c r="E10" s="10"/>
      <c r="F10" s="10"/>
    </row>
    <row r="11">
      <c r="B11" s="9"/>
      <c r="C11" s="10"/>
      <c r="D11" s="11"/>
      <c r="E11" s="10"/>
      <c r="F11" s="10"/>
    </row>
    <row r="12">
      <c r="B12" s="9"/>
      <c r="C12" s="10"/>
      <c r="D12" s="11"/>
      <c r="E12" s="10"/>
      <c r="F12" s="10"/>
    </row>
    <row r="13">
      <c r="B13" s="9"/>
      <c r="C13" s="10"/>
      <c r="D13" s="11"/>
      <c r="E13" s="10"/>
      <c r="F13" s="10"/>
    </row>
    <row r="14">
      <c r="B14" s="9"/>
      <c r="C14" s="10"/>
      <c r="D14" s="11"/>
      <c r="E14" s="10"/>
      <c r="F14" s="10"/>
    </row>
    <row r="15">
      <c r="B15" s="9"/>
      <c r="C15" s="10"/>
      <c r="D15" s="11"/>
      <c r="E15" s="10"/>
      <c r="F15" s="10"/>
    </row>
    <row r="16">
      <c r="B16" s="9"/>
      <c r="C16" s="10"/>
      <c r="D16" s="11"/>
      <c r="E16" s="10"/>
      <c r="F16" s="10"/>
    </row>
    <row r="17">
      <c r="B17" s="9"/>
      <c r="C17" s="10"/>
      <c r="D17" s="11"/>
      <c r="E17" s="10"/>
      <c r="F17" s="10"/>
    </row>
    <row r="18">
      <c r="B18" s="9"/>
      <c r="C18" s="10"/>
      <c r="D18" s="11"/>
      <c r="E18" s="10"/>
      <c r="F18" s="10"/>
    </row>
    <row r="19">
      <c r="B19" s="9"/>
      <c r="C19" s="10"/>
      <c r="D19" s="11"/>
      <c r="E19" s="10"/>
      <c r="F19" s="10"/>
    </row>
    <row r="20">
      <c r="B20" s="9"/>
      <c r="C20" s="10"/>
      <c r="D20" s="11"/>
      <c r="E20" s="10"/>
      <c r="F20" s="10"/>
    </row>
    <row r="21">
      <c r="B21" s="9"/>
      <c r="C21" s="10"/>
      <c r="D21" s="11"/>
      <c r="E21" s="10"/>
      <c r="F21" s="10"/>
    </row>
    <row r="22">
      <c r="B22" s="9"/>
      <c r="C22" s="10"/>
      <c r="D22" s="11"/>
      <c r="E22" s="10"/>
      <c r="F22" s="10"/>
    </row>
    <row r="23">
      <c r="B23" s="9"/>
      <c r="C23" s="10"/>
      <c r="D23" s="11"/>
      <c r="E23" s="10"/>
      <c r="F23" s="10"/>
    </row>
    <row r="24">
      <c r="B24" s="9"/>
      <c r="C24" s="10"/>
      <c r="D24" s="11"/>
      <c r="E24" s="10"/>
      <c r="F24" s="10"/>
    </row>
    <row r="25">
      <c r="B25" s="9"/>
      <c r="C25" s="10"/>
      <c r="D25" s="11"/>
      <c r="E25" s="10"/>
      <c r="F25" s="10"/>
    </row>
    <row r="26">
      <c r="B26" s="9"/>
      <c r="C26" s="10"/>
      <c r="D26" s="11"/>
      <c r="E26" s="10"/>
      <c r="F26" s="10"/>
    </row>
    <row r="27">
      <c r="B27" s="9"/>
      <c r="C27" s="10"/>
      <c r="D27" s="11"/>
      <c r="E27" s="10"/>
      <c r="F27" s="10"/>
    </row>
    <row r="28">
      <c r="B28" s="9"/>
      <c r="C28" s="10"/>
      <c r="D28" s="11"/>
      <c r="E28" s="10"/>
      <c r="F28" s="10"/>
    </row>
    <row r="29">
      <c r="B29" s="9"/>
      <c r="C29" s="10"/>
      <c r="D29" s="11"/>
      <c r="E29" s="10"/>
      <c r="F29" s="10"/>
    </row>
    <row r="30">
      <c r="B30" s="9"/>
      <c r="C30" s="10"/>
      <c r="D30" s="11"/>
      <c r="E30" s="10"/>
      <c r="F30" s="10"/>
    </row>
    <row r="31">
      <c r="B31" s="9"/>
      <c r="C31" s="10"/>
      <c r="D31" s="11"/>
      <c r="E31" s="10"/>
      <c r="F31" s="10"/>
    </row>
    <row r="32">
      <c r="B32" s="9"/>
      <c r="C32" s="10"/>
      <c r="D32" s="11"/>
      <c r="E32" s="10"/>
      <c r="F32" s="10"/>
    </row>
    <row r="33">
      <c r="B33" s="9"/>
      <c r="C33" s="10"/>
      <c r="D33" s="11"/>
      <c r="E33" s="10"/>
      <c r="F33" s="10"/>
    </row>
    <row r="34">
      <c r="B34" s="9"/>
      <c r="C34" s="10"/>
      <c r="D34" s="11"/>
      <c r="E34" s="10"/>
      <c r="F34" s="10"/>
    </row>
    <row r="35">
      <c r="B35" s="9"/>
      <c r="C35" s="10"/>
      <c r="D35" s="11"/>
      <c r="E35" s="10"/>
      <c r="F35" s="10"/>
    </row>
    <row r="36">
      <c r="B36" s="9"/>
      <c r="C36" s="10"/>
      <c r="D36" s="11"/>
      <c r="E36" s="10"/>
      <c r="F36" s="10"/>
    </row>
    <row r="37">
      <c r="B37" s="9"/>
      <c r="C37" s="10"/>
      <c r="D37" s="11"/>
      <c r="E37" s="10"/>
      <c r="F37" s="10"/>
    </row>
    <row r="38">
      <c r="B38" s="9"/>
      <c r="C38" s="10"/>
      <c r="D38" s="11"/>
      <c r="E38" s="10"/>
      <c r="F38" s="10"/>
    </row>
    <row r="39">
      <c r="B39" s="9"/>
      <c r="C39" s="10"/>
      <c r="D39" s="11"/>
      <c r="E39" s="10"/>
      <c r="F39" s="10"/>
    </row>
    <row r="40">
      <c r="B40" s="9"/>
      <c r="C40" s="10"/>
      <c r="D40" s="11"/>
      <c r="E40" s="10"/>
      <c r="F40" s="10"/>
    </row>
    <row r="41">
      <c r="B41" s="9"/>
      <c r="C41" s="10"/>
      <c r="D41" s="11"/>
      <c r="E41" s="10"/>
      <c r="F41" s="10"/>
    </row>
    <row r="42">
      <c r="B42" s="9"/>
      <c r="C42" s="10"/>
      <c r="D42" s="11"/>
      <c r="E42" s="10"/>
      <c r="F42" s="10"/>
    </row>
    <row r="43">
      <c r="B43" s="9"/>
      <c r="C43" s="10"/>
      <c r="D43" s="11"/>
      <c r="E43" s="10"/>
      <c r="F43" s="10"/>
    </row>
    <row r="44">
      <c r="B44" s="9"/>
      <c r="C44" s="10"/>
      <c r="D44" s="11"/>
      <c r="E44" s="10"/>
      <c r="F44" s="10"/>
    </row>
    <row r="45">
      <c r="B45" s="9"/>
      <c r="C45" s="10"/>
      <c r="D45" s="11"/>
      <c r="E45" s="10"/>
      <c r="F45" s="10"/>
    </row>
    <row r="46">
      <c r="B46" s="9"/>
      <c r="C46" s="10"/>
      <c r="D46" s="11"/>
      <c r="E46" s="10"/>
      <c r="F46" s="10"/>
    </row>
    <row r="47">
      <c r="B47" s="9"/>
      <c r="C47" s="10"/>
      <c r="D47" s="11"/>
      <c r="E47" s="10"/>
      <c r="F47" s="10"/>
    </row>
    <row r="48">
      <c r="B48" s="9"/>
      <c r="C48" s="10"/>
      <c r="D48" s="11"/>
      <c r="E48" s="10"/>
      <c r="F48" s="10"/>
    </row>
    <row r="49">
      <c r="B49" s="9"/>
      <c r="C49" s="10"/>
      <c r="D49" s="11"/>
      <c r="E49" s="10"/>
      <c r="F49" s="10"/>
    </row>
    <row r="50">
      <c r="B50" s="9"/>
      <c r="C50" s="10"/>
      <c r="D50" s="11"/>
      <c r="E50" s="10"/>
      <c r="F50" s="10"/>
    </row>
    <row r="51">
      <c r="B51" s="9"/>
      <c r="C51" s="10"/>
      <c r="D51" s="11"/>
      <c r="E51" s="10"/>
      <c r="F51" s="10"/>
    </row>
    <row r="52">
      <c r="B52" s="9"/>
      <c r="C52" s="10"/>
      <c r="D52" s="11"/>
      <c r="E52" s="10"/>
      <c r="F52" s="10"/>
    </row>
    <row r="53">
      <c r="B53" s="9"/>
      <c r="C53" s="10"/>
      <c r="D53" s="11"/>
      <c r="E53" s="10"/>
      <c r="F53" s="10"/>
    </row>
    <row r="54">
      <c r="B54" s="9"/>
      <c r="C54" s="10"/>
      <c r="D54" s="11"/>
      <c r="E54" s="10"/>
      <c r="F54" s="10"/>
    </row>
    <row r="55">
      <c r="B55" s="9"/>
      <c r="C55" s="10"/>
      <c r="D55" s="11"/>
      <c r="E55" s="10"/>
      <c r="F55" s="10"/>
    </row>
    <row r="56">
      <c r="B56" s="9"/>
      <c r="C56" s="10"/>
      <c r="D56" s="11"/>
      <c r="E56" s="10"/>
      <c r="F56" s="10"/>
    </row>
    <row r="57">
      <c r="B57" s="9"/>
      <c r="C57" s="10"/>
      <c r="D57" s="11"/>
      <c r="E57" s="10"/>
      <c r="F57" s="10"/>
    </row>
    <row r="58">
      <c r="B58" s="9"/>
      <c r="C58" s="10"/>
      <c r="D58" s="11"/>
      <c r="E58" s="10"/>
      <c r="F58" s="10"/>
    </row>
    <row r="59">
      <c r="B59" s="9"/>
      <c r="C59" s="10"/>
      <c r="D59" s="11"/>
      <c r="E59" s="10"/>
      <c r="F59" s="10"/>
    </row>
    <row r="60">
      <c r="B60" s="9"/>
      <c r="C60" s="10"/>
      <c r="D60" s="11"/>
      <c r="E60" s="10"/>
      <c r="F60" s="10"/>
    </row>
    <row r="61">
      <c r="B61" s="9"/>
      <c r="C61" s="10"/>
      <c r="D61" s="11"/>
      <c r="E61" s="10"/>
      <c r="F61" s="10"/>
    </row>
    <row r="62">
      <c r="B62" s="9"/>
      <c r="C62" s="10"/>
      <c r="D62" s="11"/>
      <c r="E62" s="10"/>
      <c r="F62" s="10"/>
    </row>
    <row r="63">
      <c r="B63" s="9"/>
      <c r="C63" s="10"/>
      <c r="D63" s="11"/>
      <c r="E63" s="10"/>
      <c r="F63" s="10"/>
    </row>
    <row r="64">
      <c r="B64" s="9"/>
      <c r="C64" s="10"/>
      <c r="D64" s="11"/>
      <c r="E64" s="10"/>
      <c r="F64" s="10"/>
    </row>
    <row r="65">
      <c r="B65" s="9"/>
      <c r="C65" s="10"/>
      <c r="D65" s="11"/>
      <c r="E65" s="10"/>
      <c r="F65" s="10"/>
    </row>
    <row r="66">
      <c r="B66" s="9"/>
      <c r="C66" s="10"/>
      <c r="D66" s="11"/>
      <c r="E66" s="10"/>
      <c r="F66" s="10"/>
    </row>
    <row r="67">
      <c r="B67" s="9"/>
      <c r="C67" s="10"/>
      <c r="D67" s="11"/>
      <c r="E67" s="10"/>
      <c r="F67" s="10"/>
    </row>
    <row r="68">
      <c r="B68" s="9"/>
      <c r="C68" s="10"/>
      <c r="D68" s="11"/>
      <c r="E68" s="10"/>
      <c r="F68" s="10"/>
    </row>
    <row r="69">
      <c r="B69" s="9"/>
      <c r="C69" s="10"/>
      <c r="D69" s="11"/>
      <c r="E69" s="10"/>
      <c r="F69" s="10"/>
    </row>
    <row r="70">
      <c r="B70" s="9"/>
      <c r="C70" s="10"/>
      <c r="D70" s="11"/>
      <c r="E70" s="10"/>
      <c r="F70" s="10"/>
    </row>
    <row r="71">
      <c r="B71" s="9"/>
      <c r="C71" s="10"/>
      <c r="D71" s="11"/>
      <c r="E71" s="10"/>
      <c r="F71" s="10"/>
    </row>
    <row r="72">
      <c r="B72" s="9"/>
      <c r="C72" s="10"/>
      <c r="D72" s="11"/>
      <c r="E72" s="10"/>
      <c r="F72" s="10"/>
    </row>
    <row r="73">
      <c r="B73" s="9"/>
      <c r="C73" s="10"/>
      <c r="D73" s="11"/>
      <c r="E73" s="10"/>
      <c r="F73" s="10"/>
    </row>
    <row r="74">
      <c r="B74" s="9"/>
      <c r="C74" s="10"/>
      <c r="D74" s="11"/>
      <c r="E74" s="10"/>
      <c r="F74" s="10"/>
    </row>
    <row r="75">
      <c r="B75" s="9"/>
      <c r="C75" s="10"/>
      <c r="D75" s="11"/>
      <c r="E75" s="10"/>
      <c r="F75" s="10"/>
    </row>
    <row r="76">
      <c r="B76" s="9"/>
      <c r="C76" s="10"/>
      <c r="D76" s="11"/>
      <c r="E76" s="10"/>
      <c r="F76" s="10"/>
    </row>
    <row r="77">
      <c r="B77" s="9"/>
      <c r="C77" s="10"/>
      <c r="D77" s="11"/>
      <c r="E77" s="10"/>
      <c r="F77" s="10"/>
    </row>
    <row r="78">
      <c r="B78" s="9"/>
      <c r="C78" s="10"/>
      <c r="D78" s="11"/>
      <c r="E78" s="10"/>
      <c r="F78" s="10"/>
    </row>
    <row r="79">
      <c r="B79" s="9"/>
      <c r="C79" s="10"/>
      <c r="D79" s="11"/>
      <c r="E79" s="10"/>
      <c r="F79" s="10"/>
    </row>
    <row r="80">
      <c r="B80" s="9"/>
      <c r="C80" s="10"/>
      <c r="D80" s="11"/>
      <c r="E80" s="10"/>
      <c r="F80" s="10"/>
    </row>
    <row r="81">
      <c r="B81" s="9"/>
      <c r="C81" s="10"/>
      <c r="D81" s="11"/>
      <c r="E81" s="10"/>
      <c r="F81" s="10"/>
    </row>
    <row r="82">
      <c r="B82" s="9"/>
      <c r="C82" s="10"/>
      <c r="D82" s="11"/>
      <c r="E82" s="10"/>
      <c r="F82" s="10"/>
    </row>
    <row r="83">
      <c r="B83" s="9"/>
      <c r="C83" s="10"/>
      <c r="D83" s="11"/>
      <c r="E83" s="10"/>
      <c r="F83" s="10"/>
    </row>
    <row r="84">
      <c r="B84" s="9"/>
      <c r="C84" s="10"/>
      <c r="D84" s="11"/>
      <c r="E84" s="10"/>
      <c r="F84" s="10"/>
    </row>
    <row r="85">
      <c r="B85" s="9"/>
      <c r="C85" s="10"/>
      <c r="D85" s="11"/>
      <c r="E85" s="10"/>
      <c r="F85" s="10"/>
    </row>
    <row r="86">
      <c r="B86" s="9"/>
      <c r="C86" s="10"/>
      <c r="D86" s="11"/>
      <c r="E86" s="10"/>
      <c r="F86" s="10"/>
    </row>
    <row r="87">
      <c r="B87" s="9"/>
      <c r="C87" s="10"/>
      <c r="D87" s="11"/>
      <c r="E87" s="10"/>
      <c r="F87" s="10"/>
    </row>
    <row r="88">
      <c r="B88" s="9"/>
      <c r="C88" s="10"/>
      <c r="D88" s="11"/>
      <c r="E88" s="10"/>
      <c r="F88" s="10"/>
    </row>
    <row r="89">
      <c r="B89" s="9"/>
      <c r="C89" s="10"/>
      <c r="D89" s="11"/>
      <c r="E89" s="10"/>
      <c r="F89" s="10"/>
    </row>
    <row r="90">
      <c r="B90" s="9"/>
      <c r="C90" s="10"/>
      <c r="D90" s="11"/>
      <c r="E90" s="10"/>
      <c r="F90" s="10"/>
    </row>
    <row r="91">
      <c r="B91" s="9"/>
      <c r="C91" s="10"/>
      <c r="D91" s="11"/>
      <c r="E91" s="10"/>
      <c r="F91" s="10"/>
    </row>
    <row r="92">
      <c r="B92" s="9"/>
      <c r="C92" s="10"/>
      <c r="D92" s="11"/>
      <c r="E92" s="10"/>
      <c r="F92" s="10"/>
    </row>
    <row r="93">
      <c r="B93" s="9"/>
      <c r="C93" s="10"/>
      <c r="D93" s="11"/>
      <c r="E93" s="10"/>
      <c r="F93" s="10"/>
    </row>
    <row r="94">
      <c r="B94" s="9"/>
      <c r="C94" s="10"/>
      <c r="D94" s="11"/>
      <c r="E94" s="10"/>
      <c r="F94" s="10"/>
    </row>
    <row r="95">
      <c r="B95" s="9"/>
      <c r="C95" s="10"/>
      <c r="D95" s="11"/>
      <c r="E95" s="10"/>
      <c r="F95" s="10"/>
    </row>
    <row r="96">
      <c r="B96" s="9"/>
      <c r="C96" s="10"/>
      <c r="D96" s="11"/>
      <c r="E96" s="10"/>
      <c r="F96" s="10"/>
    </row>
    <row r="97">
      <c r="B97" s="9"/>
      <c r="C97" s="10"/>
      <c r="D97" s="11"/>
      <c r="E97" s="10"/>
      <c r="F97" s="10"/>
    </row>
    <row r="98">
      <c r="B98" s="9"/>
      <c r="C98" s="10"/>
      <c r="D98" s="11"/>
      <c r="E98" s="10"/>
      <c r="F98" s="10"/>
    </row>
    <row r="99">
      <c r="B99" s="9"/>
      <c r="C99" s="10"/>
      <c r="D99" s="11"/>
      <c r="E99" s="10"/>
      <c r="F99" s="10"/>
    </row>
    <row r="100">
      <c r="B100" s="9"/>
      <c r="C100" s="10"/>
      <c r="D100" s="11"/>
      <c r="E100" s="10"/>
      <c r="F100" s="10"/>
    </row>
    <row r="101">
      <c r="B101" s="9"/>
      <c r="C101" s="10"/>
      <c r="D101" s="11"/>
      <c r="E101" s="10"/>
      <c r="F101" s="10"/>
    </row>
    <row r="102">
      <c r="B102" s="9"/>
      <c r="C102" s="10"/>
      <c r="D102" s="11"/>
      <c r="E102" s="10"/>
      <c r="F102" s="10"/>
    </row>
    <row r="103">
      <c r="B103" s="9"/>
      <c r="C103" s="10"/>
      <c r="D103" s="11"/>
      <c r="E103" s="10"/>
      <c r="F103" s="10"/>
    </row>
    <row r="104">
      <c r="B104" s="9"/>
      <c r="C104" s="10"/>
      <c r="D104" s="11"/>
      <c r="E104" s="10"/>
      <c r="F104" s="10"/>
    </row>
    <row r="105">
      <c r="B105" s="9"/>
      <c r="C105" s="10"/>
      <c r="D105" s="11"/>
      <c r="E105" s="10"/>
      <c r="F105" s="10"/>
    </row>
    <row r="106">
      <c r="B106" s="9"/>
      <c r="C106" s="10"/>
      <c r="D106" s="11"/>
      <c r="E106" s="10"/>
      <c r="F106" s="10"/>
    </row>
    <row r="107">
      <c r="B107" s="9"/>
      <c r="C107" s="10"/>
      <c r="D107" s="11"/>
      <c r="E107" s="10"/>
      <c r="F107" s="10"/>
    </row>
    <row r="108">
      <c r="B108" s="9"/>
      <c r="C108" s="10"/>
      <c r="D108" s="11"/>
      <c r="E108" s="10"/>
      <c r="F108" s="10"/>
    </row>
    <row r="109">
      <c r="B109" s="9"/>
      <c r="C109" s="10"/>
      <c r="D109" s="11"/>
      <c r="E109" s="10"/>
      <c r="F109" s="10"/>
    </row>
    <row r="110">
      <c r="B110" s="9"/>
      <c r="C110" s="10"/>
      <c r="D110" s="11"/>
      <c r="E110" s="10"/>
      <c r="F110" s="10"/>
    </row>
    <row r="111">
      <c r="B111" s="9"/>
      <c r="C111" s="10"/>
      <c r="D111" s="11"/>
      <c r="E111" s="10"/>
      <c r="F111" s="10"/>
    </row>
    <row r="112">
      <c r="B112" s="9"/>
      <c r="C112" s="10"/>
      <c r="D112" s="11"/>
      <c r="E112" s="10"/>
      <c r="F112" s="10"/>
    </row>
    <row r="113">
      <c r="B113" s="9"/>
      <c r="C113" s="10"/>
      <c r="D113" s="11"/>
      <c r="E113" s="10"/>
      <c r="F113" s="10"/>
    </row>
    <row r="114">
      <c r="B114" s="9"/>
      <c r="C114" s="10"/>
      <c r="D114" s="11"/>
      <c r="E114" s="10"/>
      <c r="F114" s="10"/>
    </row>
    <row r="115">
      <c r="B115" s="9"/>
      <c r="C115" s="10"/>
      <c r="D115" s="11"/>
      <c r="E115" s="10"/>
      <c r="F115" s="10"/>
    </row>
    <row r="116">
      <c r="B116" s="9"/>
      <c r="C116" s="10"/>
      <c r="D116" s="11"/>
      <c r="E116" s="10"/>
      <c r="F116" s="10"/>
    </row>
    <row r="117">
      <c r="B117" s="9"/>
      <c r="C117" s="10"/>
      <c r="D117" s="11"/>
      <c r="E117" s="10"/>
      <c r="F117" s="10"/>
    </row>
    <row r="118">
      <c r="B118" s="9"/>
      <c r="C118" s="10"/>
      <c r="D118" s="11"/>
      <c r="E118" s="10"/>
      <c r="F118" s="10"/>
    </row>
    <row r="119">
      <c r="B119" s="9"/>
      <c r="C119" s="10"/>
      <c r="D119" s="11"/>
      <c r="E119" s="10"/>
      <c r="F119" s="10"/>
    </row>
    <row r="120">
      <c r="B120" s="9"/>
      <c r="C120" s="10"/>
      <c r="D120" s="11"/>
      <c r="E120" s="10"/>
      <c r="F120" s="10"/>
    </row>
    <row r="121">
      <c r="B121" s="9"/>
      <c r="C121" s="10"/>
      <c r="D121" s="11"/>
      <c r="E121" s="10"/>
      <c r="F121" s="10"/>
    </row>
    <row r="122">
      <c r="B122" s="9"/>
      <c r="C122" s="10"/>
      <c r="D122" s="11"/>
      <c r="E122" s="10"/>
      <c r="F122" s="10"/>
    </row>
    <row r="123">
      <c r="B123" s="9"/>
      <c r="C123" s="10"/>
      <c r="D123" s="11"/>
      <c r="E123" s="10"/>
      <c r="F123" s="10"/>
    </row>
    <row r="124">
      <c r="B124" s="9"/>
      <c r="C124" s="10"/>
      <c r="D124" s="11"/>
      <c r="E124" s="10"/>
      <c r="F124" s="10"/>
    </row>
    <row r="125">
      <c r="B125" s="9"/>
      <c r="C125" s="10"/>
      <c r="D125" s="11"/>
      <c r="E125" s="10"/>
      <c r="F125" s="10"/>
    </row>
    <row r="126">
      <c r="B126" s="9"/>
      <c r="C126" s="10"/>
      <c r="D126" s="11"/>
      <c r="E126" s="10"/>
      <c r="F126" s="10"/>
    </row>
    <row r="127">
      <c r="B127" s="9"/>
      <c r="C127" s="10"/>
      <c r="D127" s="11"/>
      <c r="E127" s="10"/>
      <c r="F127" s="10"/>
    </row>
    <row r="128">
      <c r="B128" s="9"/>
      <c r="C128" s="10"/>
      <c r="D128" s="11"/>
      <c r="E128" s="10"/>
      <c r="F128" s="10"/>
    </row>
    <row r="129">
      <c r="B129" s="9"/>
      <c r="C129" s="10"/>
      <c r="D129" s="11"/>
      <c r="E129" s="10"/>
      <c r="F129" s="10"/>
    </row>
    <row r="130">
      <c r="B130" s="9"/>
      <c r="C130" s="10"/>
      <c r="D130" s="11"/>
      <c r="E130" s="10"/>
      <c r="F130" s="10"/>
    </row>
    <row r="131">
      <c r="B131" s="9"/>
      <c r="C131" s="10"/>
      <c r="D131" s="11"/>
      <c r="E131" s="10"/>
      <c r="F131" s="10"/>
    </row>
    <row r="132">
      <c r="B132" s="9"/>
      <c r="C132" s="10"/>
      <c r="D132" s="11"/>
      <c r="E132" s="10"/>
      <c r="F132" s="10"/>
    </row>
    <row r="133">
      <c r="B133" s="9"/>
      <c r="C133" s="10"/>
      <c r="D133" s="11"/>
      <c r="E133" s="10"/>
      <c r="F133" s="10"/>
    </row>
    <row r="134">
      <c r="B134" s="9"/>
      <c r="C134" s="10"/>
      <c r="D134" s="11"/>
      <c r="E134" s="10"/>
      <c r="F134" s="10"/>
    </row>
    <row r="135">
      <c r="B135" s="9"/>
      <c r="C135" s="10"/>
      <c r="D135" s="11"/>
      <c r="E135" s="10"/>
      <c r="F135" s="10"/>
    </row>
    <row r="136">
      <c r="B136" s="9"/>
      <c r="C136" s="10"/>
      <c r="D136" s="11"/>
      <c r="E136" s="10"/>
      <c r="F136" s="10"/>
    </row>
    <row r="137">
      <c r="B137" s="9"/>
      <c r="C137" s="10"/>
      <c r="D137" s="11"/>
      <c r="E137" s="10"/>
      <c r="F137" s="10"/>
    </row>
    <row r="138">
      <c r="B138" s="9"/>
      <c r="C138" s="10"/>
      <c r="D138" s="11"/>
      <c r="E138" s="10"/>
      <c r="F138" s="10"/>
    </row>
    <row r="139">
      <c r="B139" s="9"/>
      <c r="C139" s="10"/>
      <c r="D139" s="11"/>
      <c r="E139" s="10"/>
      <c r="F139" s="10"/>
    </row>
    <row r="140">
      <c r="B140" s="9"/>
      <c r="C140" s="10"/>
      <c r="D140" s="11"/>
      <c r="E140" s="10"/>
      <c r="F140" s="10"/>
    </row>
    <row r="141">
      <c r="B141" s="9"/>
      <c r="C141" s="10"/>
      <c r="D141" s="11"/>
      <c r="E141" s="10"/>
      <c r="F141" s="10"/>
    </row>
    <row r="142">
      <c r="B142" s="9"/>
      <c r="C142" s="10"/>
      <c r="D142" s="11"/>
      <c r="E142" s="10"/>
      <c r="F142" s="10"/>
    </row>
    <row r="143">
      <c r="B143" s="9"/>
      <c r="C143" s="10"/>
      <c r="D143" s="11"/>
      <c r="E143" s="10"/>
      <c r="F143" s="10"/>
    </row>
    <row r="144">
      <c r="B144" s="9"/>
      <c r="C144" s="10"/>
      <c r="D144" s="11"/>
      <c r="E144" s="10"/>
      <c r="F144" s="10"/>
    </row>
    <row r="145">
      <c r="B145" s="9"/>
      <c r="C145" s="10"/>
      <c r="D145" s="11"/>
      <c r="E145" s="10"/>
      <c r="F145" s="10"/>
    </row>
    <row r="146">
      <c r="B146" s="9"/>
      <c r="C146" s="10"/>
      <c r="D146" s="11"/>
      <c r="E146" s="10"/>
      <c r="F146" s="10"/>
    </row>
    <row r="147">
      <c r="B147" s="9"/>
      <c r="C147" s="10"/>
      <c r="D147" s="11"/>
      <c r="E147" s="10"/>
      <c r="F147" s="10"/>
    </row>
    <row r="148">
      <c r="B148" s="9"/>
      <c r="C148" s="10"/>
      <c r="D148" s="11"/>
      <c r="E148" s="10"/>
      <c r="F148" s="10"/>
    </row>
    <row r="149">
      <c r="B149" s="9"/>
      <c r="C149" s="10"/>
      <c r="D149" s="11"/>
      <c r="E149" s="10"/>
      <c r="F149" s="10"/>
    </row>
    <row r="150">
      <c r="B150" s="9"/>
      <c r="C150" s="10"/>
      <c r="D150" s="11"/>
      <c r="E150" s="10"/>
      <c r="F150" s="10"/>
    </row>
    <row r="151">
      <c r="B151" s="9"/>
      <c r="C151" s="10"/>
      <c r="D151" s="11"/>
      <c r="E151" s="10"/>
      <c r="F151" s="10"/>
    </row>
    <row r="152">
      <c r="B152" s="9"/>
      <c r="C152" s="10"/>
      <c r="D152" s="11"/>
      <c r="E152" s="10"/>
      <c r="F152" s="10"/>
    </row>
    <row r="153">
      <c r="B153" s="9"/>
      <c r="C153" s="10"/>
      <c r="D153" s="11"/>
      <c r="E153" s="10"/>
      <c r="F153" s="10"/>
    </row>
    <row r="154">
      <c r="B154" s="9"/>
      <c r="C154" s="10"/>
      <c r="D154" s="11"/>
      <c r="E154" s="10"/>
      <c r="F154" s="10"/>
    </row>
    <row r="155">
      <c r="B155" s="9"/>
      <c r="C155" s="10"/>
      <c r="D155" s="11"/>
      <c r="E155" s="10"/>
      <c r="F155" s="10"/>
    </row>
    <row r="156">
      <c r="B156" s="9"/>
      <c r="C156" s="10"/>
      <c r="D156" s="11"/>
      <c r="E156" s="10"/>
      <c r="F156" s="10"/>
    </row>
    <row r="157">
      <c r="B157" s="9"/>
      <c r="C157" s="10"/>
      <c r="D157" s="11"/>
      <c r="E157" s="10"/>
      <c r="F157" s="10"/>
    </row>
    <row r="158">
      <c r="B158" s="9"/>
      <c r="C158" s="10"/>
      <c r="D158" s="11"/>
      <c r="E158" s="10"/>
      <c r="F158" s="10"/>
    </row>
    <row r="159">
      <c r="B159" s="9"/>
      <c r="C159" s="10"/>
      <c r="D159" s="11"/>
      <c r="E159" s="10"/>
      <c r="F159" s="10"/>
    </row>
    <row r="160">
      <c r="B160" s="9"/>
      <c r="C160" s="10"/>
      <c r="D160" s="11"/>
      <c r="E160" s="10"/>
      <c r="F160" s="10"/>
    </row>
    <row r="161">
      <c r="B161" s="9"/>
      <c r="C161" s="10"/>
      <c r="D161" s="11"/>
      <c r="E161" s="10"/>
      <c r="F161" s="10"/>
    </row>
    <row r="162">
      <c r="B162" s="9"/>
      <c r="C162" s="10"/>
      <c r="D162" s="11"/>
      <c r="E162" s="10"/>
      <c r="F162" s="10"/>
    </row>
    <row r="163">
      <c r="B163" s="9"/>
      <c r="C163" s="10"/>
      <c r="D163" s="11"/>
      <c r="E163" s="10"/>
      <c r="F163" s="10"/>
    </row>
    <row r="164">
      <c r="B164" s="9"/>
      <c r="C164" s="10"/>
      <c r="D164" s="11"/>
      <c r="E164" s="10"/>
      <c r="F164" s="10"/>
    </row>
    <row r="165">
      <c r="B165" s="9"/>
      <c r="C165" s="10"/>
      <c r="D165" s="11"/>
      <c r="E165" s="10"/>
      <c r="F165" s="10"/>
    </row>
    <row r="166">
      <c r="B166" s="9"/>
      <c r="C166" s="10"/>
      <c r="D166" s="11"/>
      <c r="E166" s="10"/>
      <c r="F166" s="10"/>
    </row>
    <row r="167">
      <c r="B167" s="9"/>
      <c r="C167" s="10"/>
      <c r="D167" s="11"/>
      <c r="E167" s="10"/>
      <c r="F167" s="10"/>
    </row>
    <row r="168">
      <c r="B168" s="9"/>
      <c r="C168" s="10"/>
      <c r="D168" s="11"/>
      <c r="E168" s="10"/>
      <c r="F168" s="10"/>
    </row>
    <row r="169">
      <c r="B169" s="9"/>
      <c r="C169" s="10"/>
      <c r="D169" s="11"/>
      <c r="E169" s="10"/>
      <c r="F169" s="10"/>
    </row>
    <row r="170">
      <c r="B170" s="9"/>
      <c r="C170" s="10"/>
      <c r="D170" s="11"/>
      <c r="E170" s="10"/>
      <c r="F170" s="10"/>
    </row>
    <row r="171">
      <c r="B171" s="9"/>
      <c r="C171" s="10"/>
      <c r="D171" s="11"/>
      <c r="E171" s="10"/>
      <c r="F171" s="10"/>
    </row>
    <row r="172">
      <c r="B172" s="9"/>
      <c r="C172" s="10"/>
      <c r="D172" s="11"/>
      <c r="E172" s="10"/>
      <c r="F172" s="10"/>
    </row>
    <row r="173">
      <c r="B173" s="9"/>
      <c r="C173" s="10"/>
      <c r="D173" s="11"/>
      <c r="E173" s="10"/>
      <c r="F173" s="10"/>
    </row>
    <row r="174">
      <c r="B174" s="9"/>
      <c r="C174" s="10"/>
      <c r="D174" s="11"/>
      <c r="E174" s="10"/>
      <c r="F174" s="10"/>
    </row>
    <row r="175">
      <c r="B175" s="9"/>
      <c r="C175" s="10"/>
      <c r="D175" s="11"/>
      <c r="E175" s="10"/>
      <c r="F175" s="10"/>
    </row>
    <row r="176">
      <c r="B176" s="9"/>
      <c r="C176" s="10"/>
      <c r="D176" s="11"/>
      <c r="E176" s="10"/>
      <c r="F176" s="10"/>
    </row>
    <row r="177">
      <c r="B177" s="9"/>
      <c r="C177" s="10"/>
      <c r="D177" s="11"/>
      <c r="E177" s="10"/>
      <c r="F177" s="10"/>
    </row>
    <row r="178">
      <c r="B178" s="9"/>
      <c r="C178" s="10"/>
      <c r="D178" s="11"/>
      <c r="E178" s="10"/>
      <c r="F178" s="10"/>
    </row>
    <row r="179">
      <c r="B179" s="9"/>
      <c r="C179" s="10"/>
      <c r="D179" s="11"/>
      <c r="E179" s="10"/>
      <c r="F179" s="10"/>
    </row>
    <row r="180">
      <c r="B180" s="9"/>
      <c r="C180" s="10"/>
      <c r="D180" s="11"/>
      <c r="E180" s="10"/>
      <c r="F180" s="10"/>
    </row>
    <row r="181">
      <c r="B181" s="9"/>
      <c r="C181" s="10"/>
      <c r="D181" s="11"/>
      <c r="E181" s="10"/>
      <c r="F181" s="10"/>
    </row>
    <row r="182">
      <c r="B182" s="9"/>
      <c r="C182" s="10"/>
      <c r="D182" s="11"/>
      <c r="E182" s="10"/>
      <c r="F182" s="10"/>
    </row>
    <row r="183">
      <c r="B183" s="9"/>
      <c r="C183" s="10"/>
      <c r="D183" s="11"/>
      <c r="E183" s="10"/>
      <c r="F183" s="10"/>
    </row>
    <row r="184">
      <c r="B184" s="9"/>
      <c r="C184" s="10"/>
      <c r="D184" s="11"/>
      <c r="E184" s="10"/>
      <c r="F184" s="10"/>
    </row>
    <row r="185">
      <c r="B185" s="9"/>
      <c r="C185" s="10"/>
      <c r="D185" s="11"/>
      <c r="E185" s="10"/>
      <c r="F185" s="10"/>
    </row>
    <row r="186">
      <c r="B186" s="9"/>
      <c r="C186" s="10"/>
      <c r="D186" s="11"/>
      <c r="E186" s="10"/>
      <c r="F186" s="10"/>
    </row>
    <row r="187">
      <c r="B187" s="9"/>
      <c r="C187" s="10"/>
      <c r="D187" s="11"/>
      <c r="E187" s="10"/>
      <c r="F187" s="10"/>
    </row>
    <row r="188">
      <c r="B188" s="9"/>
      <c r="C188" s="10"/>
      <c r="D188" s="11"/>
      <c r="E188" s="10"/>
      <c r="F188" s="10"/>
    </row>
    <row r="189">
      <c r="B189" s="9"/>
      <c r="C189" s="10"/>
      <c r="D189" s="11"/>
      <c r="E189" s="10"/>
      <c r="F189" s="10"/>
    </row>
    <row r="190">
      <c r="B190" s="9"/>
      <c r="C190" s="10"/>
      <c r="D190" s="11"/>
      <c r="E190" s="10"/>
      <c r="F190" s="10"/>
    </row>
    <row r="191">
      <c r="B191" s="9"/>
      <c r="C191" s="10"/>
      <c r="D191" s="11"/>
      <c r="E191" s="10"/>
      <c r="F191" s="10"/>
    </row>
    <row r="192">
      <c r="B192" s="9"/>
      <c r="C192" s="10"/>
      <c r="D192" s="11"/>
      <c r="E192" s="10"/>
      <c r="F192" s="10"/>
    </row>
    <row r="193">
      <c r="B193" s="9"/>
      <c r="C193" s="10"/>
      <c r="D193" s="11"/>
      <c r="E193" s="10"/>
      <c r="F193" s="10"/>
    </row>
    <row r="194">
      <c r="B194" s="9"/>
      <c r="C194" s="10"/>
      <c r="D194" s="11"/>
      <c r="E194" s="10"/>
      <c r="F194" s="10"/>
    </row>
    <row r="195">
      <c r="B195" s="9"/>
      <c r="C195" s="10"/>
      <c r="D195" s="11"/>
      <c r="E195" s="10"/>
      <c r="F195" s="10"/>
    </row>
    <row r="196">
      <c r="B196" s="9"/>
      <c r="C196" s="10"/>
      <c r="D196" s="11"/>
      <c r="E196" s="10"/>
      <c r="F196" s="10"/>
    </row>
    <row r="197">
      <c r="B197" s="9"/>
      <c r="C197" s="10"/>
      <c r="D197" s="11"/>
      <c r="E197" s="10"/>
      <c r="F197" s="10"/>
    </row>
    <row r="198">
      <c r="B198" s="9"/>
      <c r="C198" s="10"/>
      <c r="D198" s="11"/>
      <c r="E198" s="10"/>
      <c r="F198" s="10"/>
    </row>
    <row r="199">
      <c r="B199" s="9"/>
      <c r="C199" s="10"/>
      <c r="D199" s="11"/>
      <c r="E199" s="10"/>
      <c r="F199" s="10"/>
    </row>
    <row r="200">
      <c r="B200" s="9"/>
      <c r="C200" s="10"/>
      <c r="D200" s="11"/>
      <c r="E200" s="10"/>
      <c r="F200" s="10"/>
    </row>
    <row r="201">
      <c r="B201" s="9"/>
      <c r="C201" s="10"/>
      <c r="D201" s="11"/>
      <c r="E201" s="10"/>
      <c r="F201" s="10"/>
    </row>
    <row r="202">
      <c r="B202" s="9"/>
      <c r="C202" s="10"/>
      <c r="D202" s="11"/>
      <c r="E202" s="10"/>
      <c r="F202" s="10"/>
    </row>
    <row r="203">
      <c r="B203" s="9"/>
      <c r="C203" s="10"/>
      <c r="D203" s="11"/>
      <c r="E203" s="10"/>
      <c r="F203" s="10"/>
    </row>
    <row r="204">
      <c r="B204" s="9"/>
      <c r="C204" s="10"/>
      <c r="D204" s="11"/>
      <c r="E204" s="10"/>
      <c r="F204" s="10"/>
    </row>
    <row r="205">
      <c r="B205" s="9"/>
      <c r="C205" s="10"/>
      <c r="D205" s="11"/>
      <c r="E205" s="10"/>
      <c r="F205" s="10"/>
    </row>
    <row r="206">
      <c r="B206" s="9"/>
      <c r="C206" s="10"/>
      <c r="D206" s="11"/>
      <c r="E206" s="10"/>
      <c r="F206" s="10"/>
    </row>
    <row r="207">
      <c r="B207" s="9"/>
      <c r="C207" s="10"/>
      <c r="D207" s="11"/>
      <c r="E207" s="10"/>
      <c r="F207" s="10"/>
    </row>
    <row r="208">
      <c r="B208" s="9"/>
      <c r="C208" s="10"/>
      <c r="D208" s="11"/>
      <c r="E208" s="10"/>
      <c r="F208" s="10"/>
    </row>
    <row r="209">
      <c r="B209" s="9"/>
      <c r="C209" s="10"/>
      <c r="D209" s="11"/>
      <c r="E209" s="10"/>
      <c r="F209" s="10"/>
    </row>
    <row r="210">
      <c r="B210" s="9"/>
      <c r="C210" s="10"/>
      <c r="D210" s="11"/>
      <c r="E210" s="10"/>
      <c r="F210" s="10"/>
    </row>
    <row r="211">
      <c r="B211" s="9"/>
      <c r="C211" s="10"/>
      <c r="D211" s="11"/>
      <c r="E211" s="10"/>
      <c r="F211" s="10"/>
    </row>
    <row r="212">
      <c r="B212" s="9"/>
      <c r="C212" s="10"/>
      <c r="D212" s="11"/>
      <c r="E212" s="10"/>
      <c r="F212" s="10"/>
    </row>
    <row r="213">
      <c r="B213" s="9"/>
      <c r="C213" s="10"/>
      <c r="D213" s="11"/>
      <c r="E213" s="10"/>
      <c r="F213" s="10"/>
    </row>
    <row r="214">
      <c r="B214" s="9"/>
      <c r="C214" s="10"/>
      <c r="D214" s="11"/>
      <c r="E214" s="10"/>
      <c r="F214" s="10"/>
    </row>
    <row r="215">
      <c r="B215" s="9"/>
      <c r="C215" s="10"/>
      <c r="D215" s="11"/>
      <c r="E215" s="10"/>
      <c r="F215" s="10"/>
    </row>
    <row r="216">
      <c r="B216" s="9"/>
      <c r="C216" s="10"/>
      <c r="D216" s="11"/>
      <c r="E216" s="10"/>
      <c r="F216" s="10"/>
    </row>
    <row r="217">
      <c r="B217" s="9"/>
      <c r="C217" s="10"/>
      <c r="D217" s="11"/>
      <c r="E217" s="10"/>
      <c r="F217" s="10"/>
    </row>
    <row r="218">
      <c r="B218" s="9"/>
      <c r="C218" s="10"/>
      <c r="D218" s="11"/>
      <c r="E218" s="10"/>
      <c r="F218" s="10"/>
    </row>
    <row r="219">
      <c r="B219" s="9"/>
      <c r="C219" s="10"/>
      <c r="D219" s="11"/>
      <c r="E219" s="10"/>
      <c r="F219" s="10"/>
    </row>
    <row r="220">
      <c r="B220" s="9"/>
      <c r="C220" s="10"/>
      <c r="D220" s="11"/>
      <c r="E220" s="10"/>
      <c r="F220" s="10"/>
    </row>
    <row r="221">
      <c r="B221" s="9"/>
      <c r="C221" s="10"/>
      <c r="D221" s="11"/>
      <c r="E221" s="10"/>
      <c r="F221" s="10"/>
    </row>
    <row r="222">
      <c r="B222" s="9"/>
      <c r="C222" s="10"/>
      <c r="D222" s="11"/>
      <c r="E222" s="10"/>
      <c r="F222" s="10"/>
    </row>
    <row r="223">
      <c r="B223" s="9"/>
      <c r="C223" s="10"/>
      <c r="D223" s="11"/>
      <c r="E223" s="10"/>
      <c r="F223" s="10"/>
    </row>
    <row r="224">
      <c r="B224" s="9"/>
      <c r="C224" s="10"/>
      <c r="D224" s="11"/>
      <c r="E224" s="10"/>
      <c r="F224" s="10"/>
    </row>
    <row r="225">
      <c r="B225" s="9"/>
      <c r="C225" s="10"/>
      <c r="D225" s="11"/>
      <c r="E225" s="10"/>
      <c r="F225" s="10"/>
    </row>
    <row r="226">
      <c r="B226" s="9"/>
      <c r="C226" s="10"/>
      <c r="D226" s="11"/>
      <c r="E226" s="10"/>
      <c r="F226" s="10"/>
    </row>
    <row r="227">
      <c r="B227" s="9"/>
      <c r="C227" s="10"/>
      <c r="D227" s="11"/>
      <c r="E227" s="10"/>
      <c r="F227" s="10"/>
    </row>
    <row r="228">
      <c r="B228" s="9"/>
      <c r="C228" s="10"/>
      <c r="D228" s="11"/>
      <c r="E228" s="10"/>
      <c r="F228" s="10"/>
    </row>
    <row r="229">
      <c r="B229" s="9"/>
      <c r="C229" s="10"/>
      <c r="D229" s="11"/>
      <c r="E229" s="10"/>
      <c r="F229" s="10"/>
    </row>
    <row r="230">
      <c r="B230" s="9"/>
      <c r="C230" s="10"/>
      <c r="D230" s="11"/>
      <c r="E230" s="10"/>
      <c r="F230" s="10"/>
    </row>
    <row r="231">
      <c r="B231" s="9"/>
      <c r="C231" s="10"/>
      <c r="D231" s="11"/>
      <c r="E231" s="10"/>
      <c r="F231" s="10"/>
    </row>
    <row r="232">
      <c r="B232" s="9"/>
      <c r="C232" s="10"/>
      <c r="D232" s="11"/>
      <c r="E232" s="10"/>
      <c r="F232" s="10"/>
    </row>
    <row r="233">
      <c r="B233" s="9"/>
      <c r="C233" s="10"/>
      <c r="D233" s="11"/>
      <c r="E233" s="10"/>
      <c r="F233" s="10"/>
    </row>
    <row r="234">
      <c r="B234" s="9"/>
      <c r="C234" s="10"/>
      <c r="D234" s="11"/>
      <c r="E234" s="10"/>
      <c r="F234" s="10"/>
    </row>
    <row r="235">
      <c r="B235" s="9"/>
      <c r="C235" s="10"/>
      <c r="D235" s="11"/>
      <c r="E235" s="10"/>
      <c r="F235" s="10"/>
    </row>
    <row r="236">
      <c r="B236" s="9"/>
      <c r="C236" s="10"/>
      <c r="D236" s="11"/>
      <c r="E236" s="10"/>
      <c r="F236" s="10"/>
    </row>
    <row r="237">
      <c r="B237" s="9"/>
      <c r="C237" s="10"/>
      <c r="D237" s="11"/>
      <c r="E237" s="10"/>
      <c r="F237" s="10"/>
    </row>
    <row r="238">
      <c r="B238" s="9"/>
      <c r="C238" s="10"/>
      <c r="D238" s="11"/>
      <c r="E238" s="10"/>
      <c r="F238" s="10"/>
    </row>
    <row r="239">
      <c r="B239" s="9"/>
      <c r="C239" s="10"/>
      <c r="D239" s="11"/>
      <c r="E239" s="10"/>
      <c r="F239" s="10"/>
    </row>
    <row r="240">
      <c r="B240" s="9"/>
      <c r="C240" s="10"/>
      <c r="D240" s="11"/>
      <c r="E240" s="10"/>
      <c r="F240" s="10"/>
    </row>
    <row r="241">
      <c r="B241" s="9"/>
      <c r="C241" s="10"/>
      <c r="D241" s="11"/>
      <c r="E241" s="10"/>
      <c r="F241" s="10"/>
    </row>
    <row r="242">
      <c r="B242" s="9"/>
      <c r="C242" s="10"/>
      <c r="D242" s="11"/>
      <c r="E242" s="10"/>
      <c r="F242" s="10"/>
    </row>
    <row r="243">
      <c r="B243" s="9"/>
      <c r="C243" s="10"/>
      <c r="D243" s="11"/>
      <c r="E243" s="10"/>
      <c r="F243" s="10"/>
    </row>
    <row r="244">
      <c r="B244" s="9"/>
      <c r="C244" s="10"/>
      <c r="D244" s="11"/>
      <c r="E244" s="10"/>
      <c r="F244" s="10"/>
    </row>
    <row r="245">
      <c r="B245" s="9"/>
      <c r="C245" s="10"/>
      <c r="D245" s="11"/>
      <c r="E245" s="10"/>
      <c r="F245" s="10"/>
    </row>
    <row r="246">
      <c r="B246" s="9"/>
      <c r="C246" s="10"/>
      <c r="D246" s="11"/>
      <c r="E246" s="10"/>
      <c r="F246" s="10"/>
    </row>
    <row r="247">
      <c r="B247" s="9"/>
      <c r="C247" s="10"/>
      <c r="D247" s="11"/>
      <c r="E247" s="10"/>
      <c r="F247" s="10"/>
    </row>
    <row r="248">
      <c r="B248" s="9"/>
      <c r="C248" s="10"/>
      <c r="D248" s="11"/>
      <c r="E248" s="10"/>
      <c r="F248" s="10"/>
    </row>
    <row r="249">
      <c r="B249" s="9"/>
      <c r="C249" s="10"/>
      <c r="D249" s="11"/>
      <c r="E249" s="10"/>
      <c r="F249" s="10"/>
    </row>
    <row r="250">
      <c r="B250" s="9"/>
      <c r="C250" s="10"/>
      <c r="D250" s="11"/>
      <c r="E250" s="10"/>
      <c r="F250" s="10"/>
    </row>
    <row r="251">
      <c r="B251" s="9"/>
      <c r="C251" s="10"/>
      <c r="D251" s="11"/>
      <c r="E251" s="10"/>
      <c r="F251" s="10"/>
    </row>
    <row r="252">
      <c r="B252" s="9"/>
      <c r="C252" s="10"/>
      <c r="D252" s="11"/>
      <c r="E252" s="10"/>
      <c r="F252" s="10"/>
    </row>
    <row r="253">
      <c r="B253" s="9"/>
      <c r="C253" s="10"/>
      <c r="D253" s="11"/>
      <c r="E253" s="10"/>
      <c r="F253" s="10"/>
    </row>
    <row r="254">
      <c r="B254" s="9"/>
      <c r="C254" s="10"/>
      <c r="D254" s="11"/>
      <c r="E254" s="10"/>
      <c r="F254" s="10"/>
    </row>
    <row r="255">
      <c r="B255" s="9"/>
      <c r="C255" s="10"/>
      <c r="D255" s="11"/>
      <c r="E255" s="10"/>
      <c r="F255" s="10"/>
    </row>
    <row r="256">
      <c r="B256" s="9"/>
      <c r="C256" s="10"/>
      <c r="D256" s="11"/>
      <c r="E256" s="10"/>
      <c r="F256" s="10"/>
    </row>
    <row r="257">
      <c r="B257" s="9"/>
      <c r="C257" s="10"/>
      <c r="D257" s="11"/>
      <c r="E257" s="10"/>
      <c r="F257" s="10"/>
    </row>
    <row r="258">
      <c r="B258" s="9"/>
      <c r="C258" s="10"/>
      <c r="D258" s="11"/>
      <c r="E258" s="10"/>
      <c r="F258" s="10"/>
    </row>
    <row r="259">
      <c r="B259" s="9"/>
      <c r="C259" s="10"/>
      <c r="D259" s="11"/>
      <c r="E259" s="10"/>
      <c r="F259" s="10"/>
    </row>
    <row r="260">
      <c r="B260" s="9"/>
      <c r="C260" s="10"/>
      <c r="D260" s="11"/>
      <c r="E260" s="10"/>
      <c r="F260" s="10"/>
    </row>
    <row r="261">
      <c r="B261" s="9"/>
      <c r="C261" s="10"/>
      <c r="D261" s="11"/>
      <c r="E261" s="10"/>
      <c r="F261" s="10"/>
    </row>
    <row r="262">
      <c r="B262" s="9"/>
      <c r="C262" s="10"/>
      <c r="D262" s="11"/>
      <c r="E262" s="10"/>
      <c r="F262" s="10"/>
    </row>
    <row r="263">
      <c r="B263" s="9"/>
      <c r="C263" s="10"/>
      <c r="D263" s="11"/>
      <c r="E263" s="10"/>
      <c r="F263" s="10"/>
    </row>
    <row r="264">
      <c r="B264" s="9"/>
      <c r="C264" s="10"/>
      <c r="D264" s="11"/>
      <c r="E264" s="10"/>
      <c r="F264" s="10"/>
    </row>
    <row r="265">
      <c r="B265" s="9"/>
      <c r="C265" s="10"/>
      <c r="D265" s="11"/>
      <c r="E265" s="10"/>
      <c r="F265" s="10"/>
    </row>
    <row r="266">
      <c r="B266" s="9"/>
      <c r="C266" s="10"/>
      <c r="D266" s="11"/>
      <c r="E266" s="10"/>
      <c r="F266" s="10"/>
    </row>
    <row r="267">
      <c r="B267" s="9"/>
      <c r="C267" s="10"/>
      <c r="D267" s="11"/>
      <c r="E267" s="10"/>
      <c r="F267" s="10"/>
    </row>
    <row r="268">
      <c r="B268" s="9"/>
      <c r="C268" s="10"/>
      <c r="D268" s="11"/>
      <c r="E268" s="10"/>
      <c r="F268" s="10"/>
    </row>
    <row r="269">
      <c r="B269" s="9"/>
      <c r="C269" s="10"/>
      <c r="D269" s="11"/>
      <c r="E269" s="10"/>
      <c r="F269" s="10"/>
    </row>
    <row r="270">
      <c r="B270" s="9"/>
      <c r="C270" s="10"/>
      <c r="D270" s="11"/>
      <c r="E270" s="10"/>
      <c r="F270" s="10"/>
    </row>
    <row r="271">
      <c r="B271" s="9"/>
      <c r="C271" s="10"/>
      <c r="D271" s="11"/>
      <c r="E271" s="10"/>
      <c r="F271" s="10"/>
    </row>
    <row r="272">
      <c r="B272" s="9"/>
      <c r="C272" s="10"/>
      <c r="D272" s="11"/>
      <c r="E272" s="10"/>
      <c r="F272" s="10"/>
    </row>
    <row r="273">
      <c r="B273" s="9"/>
      <c r="C273" s="10"/>
      <c r="D273" s="11"/>
      <c r="E273" s="10"/>
      <c r="F273" s="10"/>
    </row>
    <row r="274">
      <c r="B274" s="9"/>
      <c r="C274" s="10"/>
      <c r="D274" s="11"/>
      <c r="E274" s="10"/>
      <c r="F274" s="10"/>
    </row>
    <row r="275">
      <c r="B275" s="9"/>
      <c r="C275" s="10"/>
      <c r="D275" s="11"/>
      <c r="E275" s="10"/>
      <c r="F275" s="10"/>
    </row>
    <row r="276">
      <c r="B276" s="9"/>
      <c r="C276" s="10"/>
      <c r="D276" s="11"/>
      <c r="E276" s="10"/>
      <c r="F276" s="10"/>
    </row>
    <row r="277">
      <c r="B277" s="9"/>
      <c r="C277" s="10"/>
      <c r="D277" s="11"/>
      <c r="E277" s="10"/>
      <c r="F277" s="10"/>
    </row>
    <row r="278">
      <c r="B278" s="9"/>
      <c r="C278" s="10"/>
      <c r="D278" s="11"/>
      <c r="E278" s="10"/>
      <c r="F278" s="10"/>
    </row>
    <row r="279">
      <c r="B279" s="9"/>
      <c r="C279" s="10"/>
      <c r="D279" s="11"/>
      <c r="E279" s="10"/>
      <c r="F279" s="10"/>
    </row>
    <row r="280">
      <c r="B280" s="9"/>
      <c r="C280" s="10"/>
      <c r="D280" s="11"/>
      <c r="E280" s="10"/>
      <c r="F280" s="10"/>
    </row>
    <row r="281">
      <c r="B281" s="9"/>
      <c r="C281" s="10"/>
      <c r="D281" s="11"/>
      <c r="E281" s="10"/>
      <c r="F281" s="10"/>
    </row>
    <row r="282">
      <c r="B282" s="9"/>
      <c r="C282" s="10"/>
      <c r="D282" s="11"/>
      <c r="E282" s="10"/>
      <c r="F282" s="10"/>
    </row>
    <row r="283">
      <c r="B283" s="9"/>
      <c r="C283" s="10"/>
      <c r="D283" s="11"/>
      <c r="E283" s="10"/>
      <c r="F283" s="10"/>
    </row>
    <row r="284">
      <c r="B284" s="9"/>
      <c r="C284" s="10"/>
      <c r="D284" s="11"/>
      <c r="E284" s="10"/>
      <c r="F284" s="10"/>
    </row>
    <row r="285">
      <c r="B285" s="9"/>
      <c r="C285" s="10"/>
      <c r="D285" s="11"/>
      <c r="E285" s="10"/>
      <c r="F285" s="10"/>
    </row>
    <row r="286">
      <c r="B286" s="9"/>
      <c r="C286" s="10"/>
      <c r="D286" s="11"/>
      <c r="E286" s="10"/>
      <c r="F286" s="10"/>
    </row>
    <row r="287">
      <c r="B287" s="9"/>
      <c r="C287" s="10"/>
      <c r="D287" s="11"/>
      <c r="E287" s="10"/>
      <c r="F287" s="10"/>
    </row>
    <row r="288">
      <c r="B288" s="9"/>
      <c r="C288" s="10"/>
      <c r="D288" s="11"/>
      <c r="E288" s="10"/>
      <c r="F288" s="10"/>
    </row>
    <row r="289">
      <c r="B289" s="9"/>
      <c r="C289" s="10"/>
      <c r="D289" s="11"/>
      <c r="E289" s="10"/>
      <c r="F289" s="10"/>
    </row>
    <row r="290">
      <c r="B290" s="9"/>
      <c r="C290" s="10"/>
      <c r="D290" s="11"/>
      <c r="E290" s="10"/>
      <c r="F290" s="10"/>
    </row>
    <row r="291">
      <c r="B291" s="9"/>
      <c r="C291" s="10"/>
      <c r="D291" s="11"/>
      <c r="E291" s="10"/>
      <c r="F291" s="10"/>
    </row>
    <row r="292">
      <c r="B292" s="9"/>
      <c r="C292" s="10"/>
      <c r="D292" s="11"/>
      <c r="E292" s="10"/>
      <c r="F292" s="10"/>
    </row>
    <row r="293">
      <c r="B293" s="9"/>
      <c r="C293" s="10"/>
      <c r="D293" s="11"/>
      <c r="E293" s="10"/>
      <c r="F293" s="10"/>
    </row>
    <row r="294">
      <c r="B294" s="9"/>
      <c r="C294" s="10"/>
      <c r="D294" s="11"/>
      <c r="E294" s="10"/>
      <c r="F294" s="10"/>
    </row>
    <row r="295">
      <c r="B295" s="9"/>
      <c r="C295" s="10"/>
      <c r="D295" s="11"/>
      <c r="E295" s="10"/>
      <c r="F295" s="10"/>
    </row>
    <row r="296">
      <c r="B296" s="9"/>
      <c r="C296" s="10"/>
      <c r="D296" s="11"/>
      <c r="E296" s="10"/>
      <c r="F296" s="10"/>
    </row>
    <row r="297">
      <c r="B297" s="9"/>
      <c r="C297" s="10"/>
      <c r="D297" s="11"/>
      <c r="E297" s="10"/>
      <c r="F297" s="10"/>
    </row>
    <row r="298">
      <c r="B298" s="9"/>
      <c r="C298" s="10"/>
      <c r="D298" s="11"/>
      <c r="E298" s="10"/>
      <c r="F298" s="10"/>
    </row>
    <row r="299">
      <c r="B299" s="9"/>
      <c r="C299" s="10"/>
      <c r="D299" s="11"/>
      <c r="E299" s="10"/>
      <c r="F299" s="10"/>
    </row>
    <row r="300">
      <c r="B300" s="9"/>
      <c r="C300" s="10"/>
      <c r="D300" s="11"/>
      <c r="E300" s="10"/>
      <c r="F300" s="10"/>
    </row>
    <row r="301">
      <c r="B301" s="9"/>
      <c r="C301" s="10"/>
      <c r="D301" s="11"/>
      <c r="E301" s="10"/>
      <c r="F301" s="10"/>
    </row>
    <row r="302">
      <c r="B302" s="9"/>
      <c r="C302" s="10"/>
      <c r="D302" s="11"/>
      <c r="E302" s="10"/>
      <c r="F302" s="10"/>
    </row>
    <row r="303">
      <c r="B303" s="9"/>
      <c r="C303" s="10"/>
      <c r="D303" s="11"/>
      <c r="E303" s="10"/>
      <c r="F303" s="10"/>
    </row>
    <row r="304">
      <c r="B304" s="9"/>
      <c r="C304" s="10"/>
      <c r="D304" s="11"/>
      <c r="E304" s="10"/>
      <c r="F304" s="10"/>
    </row>
    <row r="305">
      <c r="B305" s="9"/>
      <c r="C305" s="10"/>
      <c r="D305" s="11"/>
      <c r="E305" s="10"/>
      <c r="F305" s="10"/>
    </row>
    <row r="306">
      <c r="B306" s="9"/>
      <c r="C306" s="10"/>
      <c r="D306" s="11"/>
      <c r="E306" s="10"/>
      <c r="F306" s="10"/>
    </row>
    <row r="307">
      <c r="B307" s="9"/>
      <c r="C307" s="10"/>
      <c r="D307" s="11"/>
      <c r="E307" s="10"/>
      <c r="F307" s="10"/>
    </row>
    <row r="308">
      <c r="B308" s="9"/>
      <c r="C308" s="10"/>
      <c r="D308" s="11"/>
      <c r="E308" s="10"/>
      <c r="F308" s="10"/>
    </row>
    <row r="309">
      <c r="B309" s="9"/>
      <c r="C309" s="10"/>
      <c r="D309" s="11"/>
      <c r="E309" s="10"/>
      <c r="F309" s="10"/>
    </row>
    <row r="310">
      <c r="B310" s="9"/>
      <c r="C310" s="10"/>
      <c r="D310" s="11"/>
      <c r="E310" s="10"/>
      <c r="F310" s="10"/>
    </row>
    <row r="311">
      <c r="B311" s="9"/>
      <c r="C311" s="10"/>
      <c r="D311" s="11"/>
      <c r="E311" s="10"/>
      <c r="F311" s="10"/>
    </row>
    <row r="312">
      <c r="B312" s="9"/>
      <c r="C312" s="10"/>
      <c r="D312" s="11"/>
      <c r="E312" s="10"/>
      <c r="F312" s="10"/>
    </row>
    <row r="313">
      <c r="B313" s="9"/>
      <c r="C313" s="10"/>
      <c r="D313" s="11"/>
      <c r="E313" s="10"/>
      <c r="F313" s="10"/>
    </row>
    <row r="314">
      <c r="B314" s="9"/>
      <c r="C314" s="10"/>
      <c r="D314" s="11"/>
      <c r="E314" s="10"/>
      <c r="F314" s="10"/>
    </row>
    <row r="315">
      <c r="B315" s="9"/>
      <c r="C315" s="10"/>
      <c r="D315" s="11"/>
      <c r="E315" s="10"/>
      <c r="F315" s="10"/>
    </row>
    <row r="316">
      <c r="B316" s="9"/>
      <c r="C316" s="10"/>
      <c r="D316" s="11"/>
      <c r="E316" s="10"/>
      <c r="F316" s="10"/>
    </row>
    <row r="317">
      <c r="B317" s="9"/>
      <c r="C317" s="10"/>
      <c r="D317" s="11"/>
      <c r="E317" s="10"/>
      <c r="F317" s="10"/>
    </row>
    <row r="318">
      <c r="B318" s="9"/>
      <c r="C318" s="10"/>
      <c r="D318" s="11"/>
      <c r="E318" s="10"/>
      <c r="F318" s="10"/>
    </row>
    <row r="319">
      <c r="B319" s="9"/>
      <c r="C319" s="10"/>
      <c r="D319" s="11"/>
      <c r="E319" s="10"/>
      <c r="F319" s="10"/>
    </row>
    <row r="320">
      <c r="B320" s="9"/>
      <c r="C320" s="10"/>
      <c r="D320" s="11"/>
      <c r="E320" s="10"/>
      <c r="F320" s="10"/>
    </row>
    <row r="321">
      <c r="B321" s="9"/>
      <c r="C321" s="10"/>
      <c r="D321" s="11"/>
      <c r="E321" s="10"/>
      <c r="F321" s="10"/>
    </row>
    <row r="322">
      <c r="B322" s="9"/>
      <c r="C322" s="10"/>
      <c r="D322" s="11"/>
      <c r="E322" s="10"/>
      <c r="F322" s="10"/>
    </row>
    <row r="323">
      <c r="B323" s="9"/>
      <c r="C323" s="10"/>
      <c r="D323" s="11"/>
      <c r="E323" s="10"/>
      <c r="F323" s="10"/>
    </row>
    <row r="324">
      <c r="B324" s="9"/>
      <c r="C324" s="10"/>
      <c r="D324" s="11"/>
      <c r="E324" s="10"/>
      <c r="F324" s="10"/>
    </row>
    <row r="325">
      <c r="B325" s="9"/>
      <c r="C325" s="10"/>
      <c r="D325" s="11"/>
      <c r="E325" s="10"/>
      <c r="F325" s="10"/>
    </row>
    <row r="326">
      <c r="B326" s="9"/>
      <c r="C326" s="10"/>
      <c r="D326" s="11"/>
      <c r="E326" s="10"/>
      <c r="F326" s="10"/>
    </row>
    <row r="327">
      <c r="B327" s="9"/>
      <c r="C327" s="10"/>
      <c r="D327" s="11"/>
      <c r="E327" s="10"/>
      <c r="F327" s="10"/>
    </row>
    <row r="328">
      <c r="B328" s="9"/>
      <c r="C328" s="10"/>
      <c r="D328" s="11"/>
      <c r="E328" s="10"/>
      <c r="F328" s="10"/>
    </row>
    <row r="329">
      <c r="B329" s="9"/>
      <c r="C329" s="10"/>
      <c r="D329" s="11"/>
      <c r="E329" s="10"/>
      <c r="F329" s="10"/>
    </row>
    <row r="330">
      <c r="B330" s="9"/>
      <c r="C330" s="10"/>
      <c r="D330" s="11"/>
      <c r="E330" s="10"/>
      <c r="F330" s="10"/>
    </row>
    <row r="331">
      <c r="B331" s="9"/>
      <c r="C331" s="10"/>
      <c r="D331" s="11"/>
      <c r="E331" s="10"/>
      <c r="F331" s="10"/>
    </row>
    <row r="332">
      <c r="B332" s="9"/>
      <c r="C332" s="10"/>
      <c r="D332" s="11"/>
      <c r="E332" s="10"/>
      <c r="F332" s="10"/>
    </row>
    <row r="333">
      <c r="B333" s="9"/>
      <c r="C333" s="10"/>
      <c r="D333" s="11"/>
      <c r="E333" s="10"/>
      <c r="F333" s="10"/>
    </row>
    <row r="334">
      <c r="B334" s="9"/>
      <c r="C334" s="10"/>
      <c r="D334" s="11"/>
      <c r="E334" s="10"/>
      <c r="F334" s="10"/>
    </row>
    <row r="335">
      <c r="B335" s="9"/>
      <c r="C335" s="10"/>
      <c r="D335" s="11"/>
      <c r="E335" s="10"/>
      <c r="F335" s="10"/>
    </row>
    <row r="336">
      <c r="B336" s="9"/>
      <c r="C336" s="10"/>
      <c r="D336" s="11"/>
      <c r="E336" s="10"/>
      <c r="F336" s="10"/>
    </row>
    <row r="337">
      <c r="B337" s="9"/>
      <c r="C337" s="10"/>
      <c r="D337" s="11"/>
      <c r="E337" s="10"/>
      <c r="F337" s="10"/>
    </row>
    <row r="338">
      <c r="B338" s="9"/>
      <c r="C338" s="10"/>
      <c r="D338" s="11"/>
      <c r="E338" s="10"/>
      <c r="F338" s="10"/>
    </row>
    <row r="339">
      <c r="B339" s="9"/>
      <c r="C339" s="10"/>
      <c r="D339" s="11"/>
      <c r="E339" s="10"/>
      <c r="F339" s="10"/>
    </row>
    <row r="340">
      <c r="B340" s="9"/>
      <c r="C340" s="10"/>
      <c r="D340" s="11"/>
      <c r="E340" s="10"/>
      <c r="F340" s="10"/>
    </row>
    <row r="341">
      <c r="B341" s="9"/>
      <c r="C341" s="10"/>
      <c r="D341" s="11"/>
      <c r="E341" s="10"/>
      <c r="F341" s="10"/>
    </row>
    <row r="342">
      <c r="B342" s="9"/>
      <c r="C342" s="10"/>
      <c r="D342" s="11"/>
      <c r="E342" s="10"/>
      <c r="F342" s="10"/>
    </row>
    <row r="343">
      <c r="B343" s="9"/>
      <c r="C343" s="10"/>
      <c r="D343" s="11"/>
      <c r="E343" s="10"/>
      <c r="F343" s="10"/>
    </row>
    <row r="344">
      <c r="B344" s="9"/>
      <c r="C344" s="10"/>
      <c r="D344" s="11"/>
      <c r="E344" s="10"/>
      <c r="F344" s="10"/>
    </row>
    <row r="345">
      <c r="B345" s="9"/>
      <c r="C345" s="10"/>
      <c r="D345" s="11"/>
      <c r="E345" s="10"/>
      <c r="F345" s="10"/>
    </row>
    <row r="346">
      <c r="B346" s="9"/>
      <c r="C346" s="10"/>
      <c r="D346" s="11"/>
      <c r="E346" s="10"/>
      <c r="F346" s="10"/>
    </row>
    <row r="347">
      <c r="B347" s="9"/>
      <c r="C347" s="10"/>
      <c r="D347" s="11"/>
      <c r="E347" s="10"/>
      <c r="F347" s="10"/>
    </row>
    <row r="348">
      <c r="B348" s="9"/>
      <c r="C348" s="10"/>
      <c r="D348" s="11"/>
      <c r="E348" s="10"/>
      <c r="F348" s="10"/>
    </row>
    <row r="349">
      <c r="B349" s="9"/>
      <c r="C349" s="10"/>
      <c r="D349" s="11"/>
      <c r="E349" s="10"/>
      <c r="F349" s="10"/>
    </row>
    <row r="350">
      <c r="B350" s="9"/>
      <c r="C350" s="10"/>
      <c r="D350" s="11"/>
      <c r="E350" s="10"/>
      <c r="F350" s="10"/>
    </row>
    <row r="351">
      <c r="B351" s="9"/>
      <c r="C351" s="10"/>
      <c r="D351" s="11"/>
      <c r="E351" s="10"/>
      <c r="F351" s="10"/>
    </row>
    <row r="352">
      <c r="B352" s="9"/>
      <c r="C352" s="10"/>
      <c r="D352" s="11"/>
      <c r="E352" s="10"/>
      <c r="F352" s="10"/>
    </row>
    <row r="353">
      <c r="B353" s="9"/>
      <c r="C353" s="10"/>
      <c r="D353" s="11"/>
      <c r="E353" s="10"/>
      <c r="F353" s="10"/>
    </row>
    <row r="354">
      <c r="B354" s="9"/>
      <c r="C354" s="10"/>
      <c r="D354" s="11"/>
      <c r="E354" s="10"/>
      <c r="F354" s="10"/>
    </row>
    <row r="355">
      <c r="B355" s="9"/>
      <c r="C355" s="10"/>
      <c r="D355" s="11"/>
      <c r="E355" s="10"/>
      <c r="F355" s="10"/>
    </row>
    <row r="356">
      <c r="B356" s="9"/>
      <c r="C356" s="10"/>
      <c r="D356" s="11"/>
      <c r="E356" s="10"/>
      <c r="F356" s="10"/>
    </row>
    <row r="357">
      <c r="B357" s="9"/>
      <c r="C357" s="10"/>
      <c r="D357" s="11"/>
      <c r="E357" s="10"/>
      <c r="F357" s="10"/>
    </row>
    <row r="358">
      <c r="B358" s="9"/>
      <c r="C358" s="10"/>
      <c r="D358" s="11"/>
      <c r="E358" s="10"/>
      <c r="F358" s="10"/>
    </row>
    <row r="359">
      <c r="B359" s="9"/>
      <c r="C359" s="10"/>
      <c r="D359" s="11"/>
      <c r="E359" s="10"/>
      <c r="F359" s="10"/>
    </row>
    <row r="360">
      <c r="B360" s="9"/>
      <c r="C360" s="10"/>
      <c r="D360" s="11"/>
      <c r="E360" s="10"/>
      <c r="F360" s="10"/>
    </row>
    <row r="361">
      <c r="B361" s="9"/>
      <c r="C361" s="10"/>
      <c r="D361" s="11"/>
      <c r="E361" s="10"/>
      <c r="F361" s="10"/>
    </row>
    <row r="362">
      <c r="B362" s="9"/>
      <c r="C362" s="10"/>
      <c r="D362" s="11"/>
      <c r="E362" s="10"/>
      <c r="F362" s="10"/>
    </row>
    <row r="363">
      <c r="B363" s="9"/>
      <c r="C363" s="10"/>
      <c r="D363" s="11"/>
      <c r="E363" s="10"/>
      <c r="F363" s="10"/>
    </row>
    <row r="364">
      <c r="B364" s="9"/>
      <c r="C364" s="10"/>
      <c r="D364" s="11"/>
      <c r="E364" s="10"/>
      <c r="F364" s="10"/>
    </row>
    <row r="365">
      <c r="B365" s="9"/>
      <c r="C365" s="10"/>
      <c r="D365" s="11"/>
      <c r="E365" s="10"/>
      <c r="F365" s="10"/>
    </row>
    <row r="366">
      <c r="B366" s="9"/>
      <c r="C366" s="10"/>
      <c r="D366" s="11"/>
      <c r="E366" s="10"/>
      <c r="F366" s="10"/>
    </row>
    <row r="367">
      <c r="B367" s="9"/>
      <c r="C367" s="10"/>
      <c r="D367" s="11"/>
      <c r="E367" s="10"/>
      <c r="F367" s="10"/>
    </row>
    <row r="368">
      <c r="B368" s="9"/>
      <c r="C368" s="10"/>
      <c r="D368" s="11"/>
      <c r="E368" s="10"/>
      <c r="F368" s="10"/>
    </row>
    <row r="369">
      <c r="B369" s="9"/>
      <c r="C369" s="10"/>
      <c r="D369" s="11"/>
      <c r="E369" s="10"/>
      <c r="F369" s="10"/>
    </row>
    <row r="370">
      <c r="B370" s="9"/>
      <c r="C370" s="10"/>
      <c r="D370" s="11"/>
      <c r="E370" s="10"/>
      <c r="F370" s="10"/>
    </row>
    <row r="371">
      <c r="B371" s="9"/>
      <c r="C371" s="10"/>
      <c r="D371" s="11"/>
      <c r="E371" s="10"/>
      <c r="F371" s="10"/>
    </row>
    <row r="372">
      <c r="B372" s="9"/>
      <c r="C372" s="10"/>
      <c r="D372" s="11"/>
      <c r="E372" s="10"/>
      <c r="F372" s="10"/>
    </row>
    <row r="373">
      <c r="B373" s="9"/>
      <c r="C373" s="10"/>
      <c r="D373" s="11"/>
      <c r="E373" s="10"/>
      <c r="F373" s="10"/>
    </row>
    <row r="374">
      <c r="B374" s="9"/>
      <c r="C374" s="10"/>
      <c r="D374" s="11"/>
      <c r="E374" s="10"/>
      <c r="F374" s="10"/>
    </row>
    <row r="375">
      <c r="B375" s="9"/>
      <c r="C375" s="10"/>
      <c r="D375" s="11"/>
      <c r="E375" s="10"/>
      <c r="F375" s="10"/>
    </row>
    <row r="376">
      <c r="B376" s="9"/>
      <c r="C376" s="10"/>
      <c r="D376" s="11"/>
      <c r="E376" s="10"/>
      <c r="F376" s="10"/>
    </row>
    <row r="377">
      <c r="B377" s="9"/>
      <c r="C377" s="10"/>
      <c r="D377" s="11"/>
      <c r="E377" s="10"/>
      <c r="F377" s="10"/>
    </row>
    <row r="378">
      <c r="B378" s="9"/>
      <c r="C378" s="10"/>
      <c r="D378" s="11"/>
      <c r="E378" s="10"/>
      <c r="F378" s="10"/>
    </row>
    <row r="379">
      <c r="B379" s="9"/>
      <c r="C379" s="10"/>
      <c r="D379" s="11"/>
      <c r="E379" s="10"/>
      <c r="F379" s="10"/>
    </row>
    <row r="380">
      <c r="B380" s="9"/>
      <c r="C380" s="10"/>
      <c r="D380" s="11"/>
      <c r="E380" s="10"/>
      <c r="F380" s="10"/>
    </row>
    <row r="381">
      <c r="B381" s="9"/>
      <c r="C381" s="10"/>
      <c r="D381" s="11"/>
      <c r="E381" s="10"/>
      <c r="F381" s="10"/>
    </row>
    <row r="382">
      <c r="B382" s="9"/>
      <c r="C382" s="10"/>
      <c r="D382" s="11"/>
      <c r="E382" s="10"/>
      <c r="F382" s="10"/>
    </row>
    <row r="383">
      <c r="B383" s="9"/>
      <c r="C383" s="10"/>
      <c r="D383" s="11"/>
      <c r="E383" s="10"/>
      <c r="F383" s="10"/>
    </row>
    <row r="384">
      <c r="B384" s="9"/>
      <c r="C384" s="10"/>
      <c r="D384" s="11"/>
      <c r="E384" s="10"/>
      <c r="F384" s="10"/>
    </row>
    <row r="385">
      <c r="B385" s="9"/>
      <c r="C385" s="10"/>
      <c r="D385" s="11"/>
      <c r="E385" s="10"/>
      <c r="F385" s="10"/>
    </row>
    <row r="386">
      <c r="B386" s="9"/>
      <c r="C386" s="10"/>
      <c r="D386" s="11"/>
      <c r="E386" s="10"/>
      <c r="F386" s="10"/>
    </row>
    <row r="387">
      <c r="B387" s="9"/>
      <c r="C387" s="10"/>
      <c r="D387" s="11"/>
      <c r="E387" s="10"/>
      <c r="F387" s="10"/>
    </row>
    <row r="388">
      <c r="B388" s="9"/>
      <c r="C388" s="10"/>
      <c r="D388" s="11"/>
      <c r="E388" s="10"/>
      <c r="F388" s="10"/>
    </row>
    <row r="389">
      <c r="B389" s="9"/>
      <c r="C389" s="10"/>
      <c r="D389" s="11"/>
      <c r="E389" s="10"/>
      <c r="F389" s="10"/>
    </row>
    <row r="390">
      <c r="B390" s="9"/>
      <c r="C390" s="10"/>
      <c r="D390" s="11"/>
      <c r="E390" s="10"/>
      <c r="F390" s="10"/>
    </row>
    <row r="391">
      <c r="B391" s="9"/>
      <c r="C391" s="10"/>
      <c r="D391" s="11"/>
      <c r="E391" s="10"/>
      <c r="F391" s="10"/>
    </row>
    <row r="392">
      <c r="B392" s="9"/>
      <c r="C392" s="10"/>
      <c r="D392" s="11"/>
      <c r="E392" s="10"/>
      <c r="F392" s="10"/>
    </row>
    <row r="393">
      <c r="B393" s="9"/>
      <c r="C393" s="10"/>
      <c r="D393" s="11"/>
      <c r="E393" s="10"/>
      <c r="F393" s="10"/>
    </row>
    <row r="394">
      <c r="B394" s="9"/>
      <c r="C394" s="10"/>
      <c r="D394" s="11"/>
      <c r="E394" s="10"/>
      <c r="F394" s="10"/>
    </row>
    <row r="395">
      <c r="B395" s="9"/>
      <c r="C395" s="10"/>
      <c r="D395" s="11"/>
      <c r="E395" s="10"/>
      <c r="F395" s="10"/>
    </row>
    <row r="396">
      <c r="B396" s="9"/>
      <c r="C396" s="10"/>
      <c r="D396" s="11"/>
      <c r="E396" s="10"/>
      <c r="F396" s="10"/>
    </row>
    <row r="397">
      <c r="B397" s="9"/>
      <c r="C397" s="10"/>
      <c r="D397" s="11"/>
      <c r="E397" s="10"/>
      <c r="F397" s="10"/>
    </row>
    <row r="398">
      <c r="B398" s="9"/>
      <c r="C398" s="10"/>
      <c r="D398" s="11"/>
      <c r="E398" s="10"/>
      <c r="F398" s="10"/>
    </row>
    <row r="399">
      <c r="B399" s="9"/>
      <c r="C399" s="10"/>
      <c r="D399" s="11"/>
      <c r="E399" s="10"/>
      <c r="F399" s="10"/>
    </row>
    <row r="400">
      <c r="B400" s="9"/>
      <c r="C400" s="10"/>
      <c r="D400" s="11"/>
      <c r="E400" s="10"/>
      <c r="F400" s="10"/>
    </row>
    <row r="401">
      <c r="B401" s="9"/>
      <c r="C401" s="10"/>
      <c r="D401" s="11"/>
      <c r="E401" s="10"/>
      <c r="F401" s="10"/>
    </row>
    <row r="402">
      <c r="B402" s="9"/>
      <c r="C402" s="10"/>
      <c r="D402" s="11"/>
      <c r="E402" s="10"/>
      <c r="F402" s="10"/>
    </row>
    <row r="403">
      <c r="B403" s="9"/>
      <c r="C403" s="10"/>
      <c r="D403" s="11"/>
      <c r="E403" s="10"/>
      <c r="F403" s="10"/>
    </row>
    <row r="404">
      <c r="B404" s="9"/>
      <c r="C404" s="10"/>
      <c r="D404" s="11"/>
      <c r="E404" s="10"/>
      <c r="F404" s="10"/>
    </row>
    <row r="405">
      <c r="B405" s="9"/>
      <c r="C405" s="10"/>
      <c r="D405" s="11"/>
      <c r="E405" s="10"/>
      <c r="F405" s="10"/>
    </row>
    <row r="406">
      <c r="B406" s="9"/>
      <c r="C406" s="10"/>
      <c r="D406" s="11"/>
      <c r="E406" s="10"/>
      <c r="F406" s="10"/>
    </row>
    <row r="407">
      <c r="B407" s="9"/>
      <c r="C407" s="10"/>
      <c r="D407" s="11"/>
      <c r="E407" s="10"/>
      <c r="F407" s="10"/>
    </row>
    <row r="408">
      <c r="B408" s="9"/>
      <c r="C408" s="10"/>
      <c r="D408" s="11"/>
      <c r="E408" s="10"/>
      <c r="F408" s="10"/>
    </row>
    <row r="409">
      <c r="B409" s="9"/>
      <c r="C409" s="10"/>
      <c r="D409" s="11"/>
      <c r="E409" s="10"/>
      <c r="F409" s="10"/>
    </row>
    <row r="410">
      <c r="B410" s="9"/>
      <c r="C410" s="10"/>
      <c r="D410" s="11"/>
      <c r="E410" s="10"/>
      <c r="F410" s="10"/>
    </row>
    <row r="411">
      <c r="B411" s="9"/>
      <c r="C411" s="10"/>
      <c r="D411" s="11"/>
      <c r="E411" s="10"/>
      <c r="F411" s="10"/>
    </row>
    <row r="412">
      <c r="B412" s="9"/>
      <c r="C412" s="10"/>
      <c r="D412" s="11"/>
      <c r="E412" s="10"/>
      <c r="F412" s="10"/>
    </row>
    <row r="413">
      <c r="B413" s="9"/>
      <c r="C413" s="10"/>
      <c r="D413" s="11"/>
      <c r="E413" s="10"/>
      <c r="F413" s="10"/>
    </row>
    <row r="414">
      <c r="B414" s="9"/>
      <c r="C414" s="10"/>
      <c r="D414" s="11"/>
      <c r="E414" s="10"/>
      <c r="F414" s="10"/>
    </row>
    <row r="415">
      <c r="B415" s="9"/>
      <c r="C415" s="10"/>
      <c r="D415" s="11"/>
      <c r="E415" s="10"/>
      <c r="F415" s="10"/>
    </row>
    <row r="416">
      <c r="B416" s="9"/>
      <c r="C416" s="10"/>
      <c r="D416" s="11"/>
      <c r="E416" s="10"/>
      <c r="F416" s="10"/>
    </row>
    <row r="417">
      <c r="B417" s="9"/>
      <c r="C417" s="10"/>
      <c r="D417" s="11"/>
      <c r="E417" s="10"/>
      <c r="F417" s="10"/>
    </row>
    <row r="418">
      <c r="B418" s="9"/>
      <c r="C418" s="10"/>
      <c r="D418" s="11"/>
      <c r="E418" s="10"/>
      <c r="F418" s="10"/>
    </row>
    <row r="419">
      <c r="B419" s="9"/>
      <c r="C419" s="10"/>
      <c r="D419" s="11"/>
      <c r="E419" s="10"/>
      <c r="F419" s="10"/>
    </row>
    <row r="420">
      <c r="B420" s="9"/>
      <c r="C420" s="10"/>
      <c r="D420" s="11"/>
      <c r="E420" s="10"/>
      <c r="F420" s="10"/>
    </row>
    <row r="421">
      <c r="B421" s="9"/>
      <c r="C421" s="10"/>
      <c r="D421" s="11"/>
      <c r="E421" s="10"/>
      <c r="F421" s="10"/>
    </row>
    <row r="422">
      <c r="B422" s="9"/>
      <c r="C422" s="10"/>
      <c r="D422" s="11"/>
      <c r="E422" s="10"/>
      <c r="F422" s="10"/>
    </row>
    <row r="423">
      <c r="B423" s="9"/>
      <c r="C423" s="10"/>
      <c r="D423" s="11"/>
      <c r="E423" s="10"/>
      <c r="F423" s="10"/>
    </row>
    <row r="424">
      <c r="B424" s="9"/>
      <c r="C424" s="10"/>
      <c r="D424" s="11"/>
      <c r="E424" s="10"/>
      <c r="F424" s="10"/>
    </row>
    <row r="425">
      <c r="B425" s="9"/>
      <c r="C425" s="10"/>
      <c r="D425" s="11"/>
      <c r="E425" s="10"/>
      <c r="F425" s="10"/>
    </row>
    <row r="426">
      <c r="B426" s="9"/>
      <c r="C426" s="10"/>
      <c r="D426" s="11"/>
      <c r="E426" s="10"/>
      <c r="F426" s="10"/>
    </row>
    <row r="427">
      <c r="B427" s="9"/>
      <c r="C427" s="10"/>
      <c r="D427" s="11"/>
      <c r="E427" s="10"/>
      <c r="F427" s="10"/>
    </row>
    <row r="428">
      <c r="B428" s="9"/>
      <c r="C428" s="10"/>
      <c r="D428" s="11"/>
      <c r="E428" s="10"/>
      <c r="F428" s="10"/>
    </row>
    <row r="429">
      <c r="B429" s="9"/>
      <c r="C429" s="10"/>
      <c r="D429" s="11"/>
      <c r="E429" s="10"/>
      <c r="F429" s="10"/>
    </row>
    <row r="430">
      <c r="B430" s="9"/>
      <c r="C430" s="10"/>
      <c r="D430" s="11"/>
      <c r="E430" s="10"/>
      <c r="F430" s="10"/>
    </row>
    <row r="431">
      <c r="B431" s="9"/>
      <c r="C431" s="10"/>
      <c r="D431" s="11"/>
      <c r="E431" s="10"/>
      <c r="F431" s="10"/>
    </row>
    <row r="432">
      <c r="B432" s="9"/>
      <c r="C432" s="10"/>
      <c r="D432" s="11"/>
      <c r="E432" s="10"/>
      <c r="F432" s="10"/>
    </row>
    <row r="433">
      <c r="B433" s="9"/>
      <c r="C433" s="10"/>
      <c r="D433" s="11"/>
      <c r="E433" s="10"/>
      <c r="F433" s="10"/>
    </row>
    <row r="434">
      <c r="B434" s="9"/>
      <c r="C434" s="10"/>
      <c r="D434" s="11"/>
      <c r="E434" s="10"/>
      <c r="F434" s="10"/>
    </row>
    <row r="435">
      <c r="B435" s="9"/>
      <c r="C435" s="10"/>
      <c r="D435" s="11"/>
      <c r="E435" s="10"/>
      <c r="F435" s="10"/>
    </row>
    <row r="436">
      <c r="B436" s="9"/>
      <c r="C436" s="10"/>
      <c r="D436" s="11"/>
      <c r="E436" s="10"/>
      <c r="F436" s="10"/>
    </row>
    <row r="437">
      <c r="B437" s="9"/>
      <c r="C437" s="10"/>
      <c r="D437" s="11"/>
      <c r="E437" s="10"/>
      <c r="F437" s="10"/>
    </row>
    <row r="438">
      <c r="B438" s="9"/>
      <c r="C438" s="10"/>
      <c r="D438" s="11"/>
      <c r="E438" s="10"/>
      <c r="F438" s="10"/>
    </row>
    <row r="439">
      <c r="B439" s="9"/>
      <c r="C439" s="10"/>
      <c r="D439" s="11"/>
      <c r="E439" s="10"/>
      <c r="F439" s="10"/>
    </row>
    <row r="440">
      <c r="B440" s="9"/>
      <c r="C440" s="10"/>
      <c r="D440" s="11"/>
      <c r="E440" s="10"/>
      <c r="F440" s="10"/>
    </row>
    <row r="441">
      <c r="B441" s="9"/>
      <c r="C441" s="10"/>
      <c r="D441" s="11"/>
      <c r="E441" s="10"/>
      <c r="F441" s="10"/>
    </row>
    <row r="442">
      <c r="B442" s="9"/>
      <c r="C442" s="10"/>
      <c r="D442" s="11"/>
      <c r="E442" s="10"/>
      <c r="F442" s="10"/>
    </row>
    <row r="443">
      <c r="B443" s="9"/>
      <c r="C443" s="10"/>
      <c r="D443" s="11"/>
      <c r="E443" s="10"/>
      <c r="F443" s="10"/>
    </row>
    <row r="444">
      <c r="B444" s="9"/>
      <c r="C444" s="10"/>
      <c r="D444" s="11"/>
      <c r="E444" s="10"/>
      <c r="F444" s="10"/>
    </row>
    <row r="445">
      <c r="B445" s="9"/>
      <c r="C445" s="10"/>
      <c r="D445" s="11"/>
      <c r="E445" s="10"/>
      <c r="F445" s="10"/>
    </row>
    <row r="446">
      <c r="B446" s="9"/>
      <c r="C446" s="10"/>
      <c r="D446" s="11"/>
      <c r="E446" s="10"/>
      <c r="F446" s="10"/>
    </row>
    <row r="447">
      <c r="B447" s="9"/>
      <c r="C447" s="10"/>
      <c r="D447" s="11"/>
      <c r="E447" s="10"/>
      <c r="F447" s="10"/>
    </row>
    <row r="448">
      <c r="B448" s="9"/>
      <c r="C448" s="10"/>
      <c r="D448" s="11"/>
      <c r="E448" s="10"/>
      <c r="F448" s="10"/>
    </row>
    <row r="449">
      <c r="B449" s="9"/>
      <c r="C449" s="10"/>
      <c r="D449" s="11"/>
      <c r="E449" s="10"/>
      <c r="F449" s="10"/>
    </row>
    <row r="450">
      <c r="B450" s="9"/>
      <c r="C450" s="10"/>
      <c r="D450" s="11"/>
      <c r="E450" s="10"/>
      <c r="F450" s="10"/>
    </row>
    <row r="451">
      <c r="B451" s="9"/>
      <c r="C451" s="10"/>
      <c r="D451" s="11"/>
      <c r="E451" s="10"/>
      <c r="F451" s="10"/>
    </row>
    <row r="452">
      <c r="B452" s="9"/>
      <c r="C452" s="10"/>
      <c r="D452" s="11"/>
      <c r="E452" s="10"/>
      <c r="F452" s="10"/>
    </row>
    <row r="453">
      <c r="B453" s="9"/>
      <c r="C453" s="10"/>
      <c r="D453" s="11"/>
      <c r="E453" s="10"/>
      <c r="F453" s="10"/>
    </row>
    <row r="454">
      <c r="B454" s="9"/>
      <c r="C454" s="10"/>
      <c r="D454" s="11"/>
      <c r="E454" s="10"/>
      <c r="F454" s="10"/>
    </row>
    <row r="455">
      <c r="B455" s="9"/>
      <c r="C455" s="10"/>
      <c r="D455" s="11"/>
      <c r="E455" s="10"/>
      <c r="F455" s="10"/>
    </row>
    <row r="456">
      <c r="B456" s="9"/>
      <c r="C456" s="10"/>
      <c r="D456" s="11"/>
      <c r="E456" s="10"/>
      <c r="F456" s="10"/>
    </row>
    <row r="457">
      <c r="B457" s="9"/>
      <c r="C457" s="10"/>
      <c r="D457" s="11"/>
      <c r="E457" s="10"/>
      <c r="F457" s="10"/>
    </row>
    <row r="458">
      <c r="B458" s="9"/>
      <c r="C458" s="10"/>
      <c r="D458" s="11"/>
      <c r="E458" s="10"/>
      <c r="F458" s="10"/>
    </row>
    <row r="459">
      <c r="B459" s="9"/>
      <c r="C459" s="10"/>
      <c r="D459" s="11"/>
      <c r="E459" s="10"/>
      <c r="F459" s="10"/>
    </row>
    <row r="460">
      <c r="B460" s="9"/>
      <c r="C460" s="10"/>
      <c r="D460" s="11"/>
      <c r="E460" s="10"/>
      <c r="F460" s="10"/>
    </row>
    <row r="461">
      <c r="B461" s="9"/>
      <c r="C461" s="10"/>
      <c r="D461" s="11"/>
      <c r="E461" s="10"/>
      <c r="F461" s="10"/>
    </row>
    <row r="462">
      <c r="B462" s="9"/>
      <c r="C462" s="10"/>
      <c r="D462" s="11"/>
      <c r="E462" s="10"/>
      <c r="F462" s="10"/>
    </row>
    <row r="463">
      <c r="B463" s="9"/>
      <c r="C463" s="10"/>
      <c r="D463" s="11"/>
      <c r="E463" s="10"/>
      <c r="F463" s="10"/>
    </row>
    <row r="464">
      <c r="B464" s="9"/>
      <c r="C464" s="10"/>
      <c r="D464" s="11"/>
      <c r="E464" s="10"/>
      <c r="F464" s="10"/>
    </row>
    <row r="465">
      <c r="B465" s="9"/>
      <c r="C465" s="10"/>
      <c r="D465" s="11"/>
      <c r="E465" s="10"/>
      <c r="F465" s="10"/>
    </row>
    <row r="466">
      <c r="B466" s="9"/>
      <c r="C466" s="10"/>
      <c r="D466" s="11"/>
      <c r="E466" s="10"/>
      <c r="F466" s="10"/>
    </row>
    <row r="467">
      <c r="B467" s="9"/>
      <c r="C467" s="10"/>
      <c r="D467" s="11"/>
      <c r="E467" s="10"/>
      <c r="F467" s="10"/>
    </row>
    <row r="468">
      <c r="B468" s="9"/>
      <c r="C468" s="10"/>
      <c r="D468" s="11"/>
      <c r="E468" s="10"/>
      <c r="F468" s="10"/>
    </row>
    <row r="469">
      <c r="B469" s="9"/>
      <c r="C469" s="10"/>
      <c r="D469" s="11"/>
      <c r="E469" s="10"/>
      <c r="F469" s="10"/>
    </row>
    <row r="470">
      <c r="B470" s="9"/>
      <c r="C470" s="10"/>
      <c r="D470" s="11"/>
      <c r="E470" s="10"/>
      <c r="F470" s="10"/>
    </row>
    <row r="471">
      <c r="B471" s="9"/>
      <c r="C471" s="10"/>
      <c r="D471" s="11"/>
      <c r="E471" s="10"/>
      <c r="F471" s="10"/>
    </row>
    <row r="472">
      <c r="B472" s="9"/>
      <c r="C472" s="10"/>
      <c r="D472" s="11"/>
      <c r="E472" s="10"/>
      <c r="F472" s="10"/>
    </row>
    <row r="473">
      <c r="B473" s="9"/>
      <c r="C473" s="10"/>
      <c r="D473" s="11"/>
      <c r="E473" s="10"/>
      <c r="F473" s="10"/>
    </row>
    <row r="474">
      <c r="B474" s="9"/>
      <c r="C474" s="10"/>
      <c r="D474" s="11"/>
      <c r="E474" s="10"/>
      <c r="F474" s="10"/>
    </row>
    <row r="475">
      <c r="B475" s="9"/>
      <c r="C475" s="10"/>
      <c r="D475" s="11"/>
      <c r="E475" s="10"/>
      <c r="F475" s="10"/>
    </row>
    <row r="476">
      <c r="B476" s="9"/>
      <c r="C476" s="10"/>
      <c r="D476" s="11"/>
      <c r="E476" s="10"/>
      <c r="F476" s="10"/>
    </row>
    <row r="477">
      <c r="B477" s="9"/>
      <c r="C477" s="10"/>
      <c r="D477" s="11"/>
      <c r="E477" s="10"/>
      <c r="F477" s="10"/>
    </row>
    <row r="478">
      <c r="B478" s="9"/>
      <c r="C478" s="10"/>
      <c r="D478" s="11"/>
      <c r="E478" s="10"/>
      <c r="F478" s="10"/>
    </row>
    <row r="479">
      <c r="B479" s="9"/>
      <c r="C479" s="10"/>
      <c r="D479" s="11"/>
      <c r="E479" s="10"/>
      <c r="F479" s="10"/>
    </row>
    <row r="480">
      <c r="B480" s="9"/>
      <c r="C480" s="10"/>
      <c r="D480" s="11"/>
      <c r="E480" s="10"/>
      <c r="F480" s="10"/>
    </row>
    <row r="481">
      <c r="B481" s="9"/>
      <c r="C481" s="10"/>
      <c r="D481" s="11"/>
      <c r="E481" s="10"/>
      <c r="F481" s="10"/>
    </row>
    <row r="482">
      <c r="B482" s="9"/>
      <c r="C482" s="10"/>
      <c r="D482" s="11"/>
      <c r="E482" s="10"/>
      <c r="F482" s="10"/>
    </row>
    <row r="483">
      <c r="B483" s="9"/>
      <c r="C483" s="10"/>
      <c r="D483" s="11"/>
      <c r="E483" s="10"/>
      <c r="F483" s="10"/>
    </row>
    <row r="484">
      <c r="B484" s="9"/>
      <c r="C484" s="10"/>
      <c r="D484" s="11"/>
      <c r="E484" s="10"/>
      <c r="F484" s="10"/>
    </row>
    <row r="485">
      <c r="B485" s="9"/>
      <c r="C485" s="10"/>
      <c r="D485" s="11"/>
      <c r="E485" s="10"/>
      <c r="F485" s="10"/>
    </row>
    <row r="486">
      <c r="B486" s="9"/>
      <c r="C486" s="10"/>
      <c r="D486" s="11"/>
      <c r="E486" s="10"/>
      <c r="F486" s="10"/>
    </row>
    <row r="487">
      <c r="B487" s="9"/>
      <c r="C487" s="10"/>
      <c r="D487" s="11"/>
      <c r="E487" s="10"/>
      <c r="F487" s="10"/>
    </row>
    <row r="488">
      <c r="B488" s="9"/>
      <c r="C488" s="10"/>
      <c r="D488" s="11"/>
      <c r="E488" s="10"/>
      <c r="F488" s="10"/>
    </row>
    <row r="489">
      <c r="B489" s="9"/>
      <c r="C489" s="10"/>
      <c r="D489" s="11"/>
      <c r="E489" s="10"/>
      <c r="F489" s="10"/>
    </row>
    <row r="490">
      <c r="B490" s="9"/>
      <c r="C490" s="10"/>
      <c r="D490" s="11"/>
      <c r="E490" s="10"/>
      <c r="F490" s="10"/>
    </row>
    <row r="491">
      <c r="B491" s="9"/>
      <c r="C491" s="10"/>
      <c r="D491" s="11"/>
      <c r="E491" s="10"/>
      <c r="F491" s="10"/>
    </row>
    <row r="492">
      <c r="B492" s="9"/>
      <c r="C492" s="10"/>
      <c r="D492" s="11"/>
      <c r="E492" s="10"/>
      <c r="F492" s="10"/>
    </row>
    <row r="493">
      <c r="B493" s="9"/>
      <c r="C493" s="10"/>
      <c r="D493" s="11"/>
      <c r="E493" s="10"/>
      <c r="F493" s="10"/>
    </row>
    <row r="494">
      <c r="B494" s="9"/>
      <c r="C494" s="10"/>
      <c r="D494" s="11"/>
      <c r="E494" s="10"/>
      <c r="F494" s="10"/>
    </row>
    <row r="495">
      <c r="B495" s="9"/>
      <c r="C495" s="10"/>
      <c r="D495" s="11"/>
      <c r="E495" s="10"/>
      <c r="F495" s="10"/>
    </row>
    <row r="496">
      <c r="B496" s="9"/>
      <c r="C496" s="10"/>
      <c r="D496" s="11"/>
      <c r="E496" s="10"/>
      <c r="F496" s="10"/>
    </row>
    <row r="497">
      <c r="B497" s="9"/>
      <c r="C497" s="10"/>
      <c r="D497" s="11"/>
      <c r="E497" s="10"/>
      <c r="F497" s="10"/>
    </row>
    <row r="498">
      <c r="B498" s="9"/>
      <c r="C498" s="10"/>
      <c r="D498" s="11"/>
      <c r="E498" s="10"/>
      <c r="F498" s="10"/>
    </row>
    <row r="499">
      <c r="B499" s="9"/>
      <c r="C499" s="10"/>
      <c r="D499" s="11"/>
      <c r="E499" s="10"/>
      <c r="F499" s="10"/>
    </row>
    <row r="500">
      <c r="B500" s="9"/>
      <c r="C500" s="10"/>
      <c r="D500" s="11"/>
      <c r="E500" s="10"/>
      <c r="F500" s="10"/>
    </row>
    <row r="501">
      <c r="B501" s="9"/>
      <c r="C501" s="10"/>
      <c r="D501" s="11"/>
      <c r="E501" s="10"/>
      <c r="F501" s="10"/>
    </row>
    <row r="502">
      <c r="B502" s="9"/>
      <c r="C502" s="10"/>
      <c r="D502" s="11"/>
      <c r="E502" s="10"/>
      <c r="F502" s="10"/>
    </row>
    <row r="503">
      <c r="B503" s="9"/>
      <c r="C503" s="10"/>
      <c r="D503" s="11"/>
      <c r="E503" s="10"/>
      <c r="F503" s="10"/>
    </row>
    <row r="504">
      <c r="B504" s="9"/>
      <c r="C504" s="10"/>
      <c r="D504" s="11"/>
      <c r="E504" s="10"/>
      <c r="F504" s="10"/>
    </row>
    <row r="505">
      <c r="B505" s="9"/>
      <c r="C505" s="10"/>
      <c r="D505" s="11"/>
      <c r="E505" s="10"/>
      <c r="F505" s="10"/>
    </row>
    <row r="506">
      <c r="B506" s="9"/>
      <c r="C506" s="10"/>
      <c r="D506" s="11"/>
      <c r="E506" s="10"/>
      <c r="F506" s="10"/>
    </row>
    <row r="507">
      <c r="B507" s="9"/>
      <c r="C507" s="10"/>
      <c r="D507" s="11"/>
      <c r="E507" s="10"/>
      <c r="F507" s="10"/>
    </row>
    <row r="508">
      <c r="B508" s="9"/>
      <c r="C508" s="10"/>
      <c r="D508" s="11"/>
      <c r="E508" s="10"/>
      <c r="F508" s="10"/>
    </row>
    <row r="509">
      <c r="B509" s="9"/>
      <c r="C509" s="10"/>
      <c r="D509" s="11"/>
      <c r="E509" s="10"/>
      <c r="F509" s="10"/>
    </row>
    <row r="510">
      <c r="B510" s="9"/>
      <c r="C510" s="10"/>
      <c r="D510" s="11"/>
      <c r="E510" s="10"/>
      <c r="F510" s="10"/>
    </row>
    <row r="511">
      <c r="B511" s="9"/>
      <c r="C511" s="10"/>
      <c r="D511" s="11"/>
      <c r="E511" s="10"/>
      <c r="F511" s="10"/>
    </row>
    <row r="512">
      <c r="B512" s="9"/>
      <c r="C512" s="10"/>
      <c r="D512" s="11"/>
      <c r="E512" s="10"/>
      <c r="F512" s="10"/>
    </row>
    <row r="513">
      <c r="B513" s="9"/>
      <c r="C513" s="10"/>
      <c r="D513" s="11"/>
      <c r="E513" s="10"/>
      <c r="F513" s="10"/>
    </row>
    <row r="514">
      <c r="B514" s="9"/>
      <c r="C514" s="10"/>
      <c r="D514" s="11"/>
      <c r="E514" s="10"/>
      <c r="F514" s="10"/>
    </row>
    <row r="515">
      <c r="B515" s="9"/>
      <c r="C515" s="10"/>
      <c r="D515" s="11"/>
      <c r="E515" s="10"/>
      <c r="F515" s="10"/>
    </row>
    <row r="516">
      <c r="B516" s="9"/>
      <c r="C516" s="10"/>
      <c r="D516" s="11"/>
      <c r="E516" s="10"/>
      <c r="F516" s="10"/>
    </row>
    <row r="517">
      <c r="B517" s="9"/>
      <c r="C517" s="10"/>
      <c r="D517" s="11"/>
      <c r="E517" s="10"/>
      <c r="F517" s="10"/>
    </row>
    <row r="518">
      <c r="B518" s="9"/>
      <c r="C518" s="10"/>
      <c r="D518" s="11"/>
      <c r="E518" s="10"/>
      <c r="F518" s="10"/>
    </row>
    <row r="519">
      <c r="B519" s="9"/>
      <c r="C519" s="10"/>
      <c r="D519" s="11"/>
      <c r="E519" s="10"/>
      <c r="F519" s="10"/>
    </row>
    <row r="520">
      <c r="B520" s="9"/>
      <c r="C520" s="10"/>
      <c r="D520" s="11"/>
      <c r="E520" s="10"/>
      <c r="F520" s="10"/>
    </row>
    <row r="521">
      <c r="B521" s="9"/>
      <c r="C521" s="10"/>
      <c r="D521" s="11"/>
      <c r="E521" s="10"/>
      <c r="F521" s="10"/>
    </row>
    <row r="522">
      <c r="B522" s="9"/>
      <c r="C522" s="10"/>
      <c r="D522" s="11"/>
      <c r="E522" s="10"/>
      <c r="F522" s="10"/>
    </row>
    <row r="523">
      <c r="B523" s="9"/>
      <c r="C523" s="10"/>
      <c r="D523" s="11"/>
      <c r="E523" s="10"/>
      <c r="F523" s="10"/>
    </row>
    <row r="524">
      <c r="B524" s="9"/>
      <c r="C524" s="10"/>
      <c r="D524" s="11"/>
      <c r="E524" s="10"/>
      <c r="F524" s="10"/>
    </row>
    <row r="525">
      <c r="B525" s="9"/>
      <c r="C525" s="10"/>
      <c r="D525" s="11"/>
      <c r="E525" s="10"/>
      <c r="F525" s="10"/>
    </row>
    <row r="526">
      <c r="B526" s="9"/>
      <c r="C526" s="10"/>
      <c r="D526" s="11"/>
      <c r="E526" s="10"/>
      <c r="F526" s="10"/>
    </row>
    <row r="527">
      <c r="B527" s="9"/>
      <c r="C527" s="10"/>
      <c r="D527" s="11"/>
      <c r="E527" s="10"/>
      <c r="F527" s="10"/>
    </row>
    <row r="528">
      <c r="B528" s="9"/>
      <c r="C528" s="10"/>
      <c r="D528" s="11"/>
      <c r="E528" s="10"/>
      <c r="F528" s="10"/>
    </row>
    <row r="529">
      <c r="B529" s="9"/>
      <c r="C529" s="10"/>
      <c r="D529" s="11"/>
      <c r="E529" s="10"/>
      <c r="F529" s="10"/>
    </row>
    <row r="530">
      <c r="B530" s="9"/>
      <c r="C530" s="10"/>
      <c r="D530" s="11"/>
      <c r="E530" s="10"/>
      <c r="F530" s="10"/>
    </row>
    <row r="531">
      <c r="B531" s="9"/>
      <c r="C531" s="10"/>
      <c r="D531" s="11"/>
      <c r="E531" s="10"/>
      <c r="F531" s="10"/>
    </row>
    <row r="532">
      <c r="B532" s="9"/>
      <c r="C532" s="10"/>
      <c r="D532" s="11"/>
      <c r="E532" s="10"/>
      <c r="F532" s="10"/>
    </row>
    <row r="533">
      <c r="B533" s="9"/>
      <c r="C533" s="10"/>
      <c r="D533" s="11"/>
      <c r="E533" s="10"/>
      <c r="F533" s="10"/>
    </row>
    <row r="534">
      <c r="B534" s="9"/>
      <c r="C534" s="10"/>
      <c r="D534" s="11"/>
      <c r="E534" s="10"/>
      <c r="F534" s="10"/>
    </row>
    <row r="535">
      <c r="B535" s="9"/>
      <c r="C535" s="10"/>
      <c r="D535" s="11"/>
      <c r="E535" s="10"/>
      <c r="F535" s="10"/>
    </row>
    <row r="536">
      <c r="B536" s="9"/>
      <c r="C536" s="10"/>
      <c r="D536" s="11"/>
      <c r="E536" s="10"/>
      <c r="F536" s="10"/>
    </row>
    <row r="537">
      <c r="B537" s="9"/>
      <c r="C537" s="10"/>
      <c r="D537" s="11"/>
      <c r="E537" s="10"/>
      <c r="F537" s="10"/>
    </row>
    <row r="538">
      <c r="B538" s="9"/>
      <c r="C538" s="10"/>
      <c r="D538" s="11"/>
      <c r="E538" s="10"/>
      <c r="F538" s="10"/>
    </row>
    <row r="539">
      <c r="B539" s="9"/>
      <c r="C539" s="10"/>
      <c r="D539" s="11"/>
      <c r="E539" s="10"/>
      <c r="F539" s="10"/>
    </row>
    <row r="540">
      <c r="B540" s="9"/>
      <c r="C540" s="10"/>
      <c r="D540" s="11"/>
      <c r="E540" s="10"/>
      <c r="F540" s="10"/>
    </row>
    <row r="541">
      <c r="B541" s="9"/>
      <c r="C541" s="10"/>
      <c r="D541" s="11"/>
      <c r="E541" s="10"/>
      <c r="F541" s="10"/>
    </row>
    <row r="542">
      <c r="B542" s="9"/>
      <c r="C542" s="10"/>
      <c r="D542" s="11"/>
      <c r="E542" s="10"/>
      <c r="F542" s="10"/>
    </row>
    <row r="543">
      <c r="B543" s="9"/>
      <c r="C543" s="10"/>
      <c r="D543" s="11"/>
      <c r="E543" s="10"/>
      <c r="F543" s="10"/>
    </row>
    <row r="544">
      <c r="B544" s="9"/>
      <c r="C544" s="10"/>
      <c r="D544" s="11"/>
      <c r="E544" s="10"/>
      <c r="F544" s="10"/>
    </row>
    <row r="545">
      <c r="B545" s="9"/>
      <c r="C545" s="10"/>
      <c r="D545" s="11"/>
      <c r="E545" s="10"/>
      <c r="F545" s="10"/>
    </row>
    <row r="546">
      <c r="B546" s="9"/>
      <c r="C546" s="10"/>
      <c r="D546" s="11"/>
      <c r="E546" s="10"/>
      <c r="F546" s="10"/>
    </row>
    <row r="547">
      <c r="B547" s="9"/>
      <c r="C547" s="10"/>
      <c r="D547" s="11"/>
      <c r="E547" s="10"/>
      <c r="F547" s="10"/>
    </row>
    <row r="548">
      <c r="B548" s="9"/>
      <c r="C548" s="10"/>
      <c r="D548" s="11"/>
      <c r="E548" s="10"/>
      <c r="F548" s="10"/>
    </row>
    <row r="549">
      <c r="B549" s="9"/>
      <c r="C549" s="10"/>
      <c r="D549" s="11"/>
      <c r="E549" s="10"/>
      <c r="F549" s="10"/>
    </row>
    <row r="550">
      <c r="B550" s="9"/>
      <c r="C550" s="10"/>
      <c r="D550" s="11"/>
      <c r="E550" s="10"/>
      <c r="F550" s="10"/>
    </row>
    <row r="551">
      <c r="B551" s="9"/>
      <c r="C551" s="10"/>
      <c r="D551" s="11"/>
      <c r="E551" s="10"/>
      <c r="F551" s="10"/>
    </row>
    <row r="552">
      <c r="B552" s="9"/>
      <c r="C552" s="10"/>
      <c r="D552" s="11"/>
      <c r="E552" s="10"/>
      <c r="F552" s="10"/>
    </row>
    <row r="553">
      <c r="B553" s="9"/>
      <c r="C553" s="10"/>
      <c r="D553" s="11"/>
      <c r="E553" s="10"/>
      <c r="F553" s="10"/>
    </row>
    <row r="554">
      <c r="B554" s="9"/>
      <c r="C554" s="10"/>
      <c r="D554" s="11"/>
      <c r="E554" s="10"/>
      <c r="F554" s="10"/>
    </row>
    <row r="555">
      <c r="B555" s="9"/>
      <c r="C555" s="10"/>
      <c r="D555" s="11"/>
      <c r="E555" s="10"/>
      <c r="F555" s="10"/>
    </row>
    <row r="556">
      <c r="B556" s="9"/>
      <c r="C556" s="10"/>
      <c r="D556" s="11"/>
      <c r="E556" s="10"/>
      <c r="F556" s="10"/>
    </row>
    <row r="557">
      <c r="B557" s="9"/>
      <c r="C557" s="10"/>
      <c r="D557" s="11"/>
      <c r="E557" s="10"/>
      <c r="F557" s="10"/>
    </row>
    <row r="558">
      <c r="B558" s="9"/>
      <c r="C558" s="10"/>
      <c r="D558" s="11"/>
      <c r="E558" s="10"/>
      <c r="F558" s="10"/>
    </row>
    <row r="559">
      <c r="B559" s="9"/>
      <c r="C559" s="10"/>
      <c r="D559" s="11"/>
      <c r="E559" s="10"/>
      <c r="F559" s="10"/>
    </row>
    <row r="560">
      <c r="B560" s="9"/>
      <c r="C560" s="10"/>
      <c r="D560" s="11"/>
      <c r="E560" s="10"/>
      <c r="F560" s="10"/>
    </row>
    <row r="561">
      <c r="B561" s="9"/>
      <c r="C561" s="10"/>
      <c r="D561" s="11"/>
      <c r="E561" s="10"/>
      <c r="F561" s="10"/>
    </row>
    <row r="562">
      <c r="B562" s="9"/>
      <c r="C562" s="10"/>
      <c r="D562" s="11"/>
      <c r="E562" s="10"/>
      <c r="F562" s="10"/>
    </row>
    <row r="563">
      <c r="B563" s="9"/>
      <c r="C563" s="10"/>
      <c r="D563" s="11"/>
      <c r="E563" s="10"/>
      <c r="F563" s="10"/>
    </row>
    <row r="564">
      <c r="B564" s="9"/>
      <c r="C564" s="10"/>
      <c r="D564" s="11"/>
      <c r="E564" s="10"/>
      <c r="F564" s="10"/>
    </row>
    <row r="565">
      <c r="B565" s="9"/>
      <c r="C565" s="10"/>
      <c r="D565" s="11"/>
      <c r="E565" s="10"/>
      <c r="F565" s="10"/>
    </row>
    <row r="566">
      <c r="B566" s="9"/>
      <c r="C566" s="10"/>
      <c r="D566" s="11"/>
      <c r="E566" s="10"/>
      <c r="F566" s="10"/>
    </row>
    <row r="567">
      <c r="B567" s="9"/>
      <c r="C567" s="10"/>
      <c r="D567" s="11"/>
      <c r="E567" s="10"/>
      <c r="F567" s="10"/>
    </row>
    <row r="568">
      <c r="B568" s="9"/>
      <c r="C568" s="10"/>
      <c r="D568" s="11"/>
      <c r="E568" s="10"/>
      <c r="F568" s="10"/>
    </row>
    <row r="569">
      <c r="B569" s="9"/>
      <c r="C569" s="10"/>
      <c r="D569" s="11"/>
      <c r="E569" s="10"/>
      <c r="F569" s="10"/>
    </row>
    <row r="570">
      <c r="B570" s="9"/>
      <c r="C570" s="10"/>
      <c r="D570" s="11"/>
      <c r="E570" s="10"/>
      <c r="F570" s="10"/>
    </row>
    <row r="571">
      <c r="B571" s="9"/>
      <c r="C571" s="10"/>
      <c r="D571" s="11"/>
      <c r="E571" s="10"/>
      <c r="F571" s="10"/>
    </row>
    <row r="572">
      <c r="B572" s="9"/>
      <c r="C572" s="10"/>
      <c r="D572" s="11"/>
      <c r="E572" s="10"/>
      <c r="F572" s="10"/>
    </row>
    <row r="573">
      <c r="B573" s="9"/>
      <c r="C573" s="10"/>
      <c r="D573" s="11"/>
      <c r="E573" s="10"/>
      <c r="F573" s="10"/>
    </row>
    <row r="574">
      <c r="B574" s="9"/>
      <c r="C574" s="10"/>
      <c r="D574" s="11"/>
      <c r="E574" s="10"/>
      <c r="F574" s="10"/>
    </row>
    <row r="575">
      <c r="B575" s="9"/>
      <c r="C575" s="10"/>
      <c r="D575" s="11"/>
      <c r="E575" s="10"/>
      <c r="F575" s="10"/>
    </row>
    <row r="576">
      <c r="B576" s="9"/>
      <c r="C576" s="10"/>
      <c r="D576" s="11"/>
      <c r="E576" s="10"/>
      <c r="F576" s="10"/>
    </row>
    <row r="577">
      <c r="B577" s="9"/>
      <c r="C577" s="10"/>
      <c r="D577" s="11"/>
      <c r="E577" s="10"/>
      <c r="F577" s="10"/>
    </row>
    <row r="578">
      <c r="B578" s="9"/>
      <c r="C578" s="10"/>
      <c r="D578" s="11"/>
      <c r="E578" s="10"/>
      <c r="F578" s="10"/>
    </row>
    <row r="579">
      <c r="B579" s="9"/>
      <c r="C579" s="10"/>
      <c r="D579" s="11"/>
      <c r="E579" s="10"/>
      <c r="F579" s="10"/>
    </row>
    <row r="580">
      <c r="B580" s="9"/>
      <c r="C580" s="10"/>
      <c r="D580" s="11"/>
      <c r="E580" s="10"/>
      <c r="F580" s="10"/>
    </row>
    <row r="581">
      <c r="B581" s="9"/>
      <c r="C581" s="10"/>
      <c r="D581" s="11"/>
      <c r="E581" s="10"/>
      <c r="F581" s="10"/>
    </row>
    <row r="582">
      <c r="B582" s="9"/>
      <c r="C582" s="10"/>
      <c r="D582" s="11"/>
      <c r="E582" s="10"/>
      <c r="F582" s="10"/>
    </row>
    <row r="583">
      <c r="B583" s="9"/>
      <c r="C583" s="10"/>
      <c r="D583" s="11"/>
      <c r="E583" s="10"/>
      <c r="F583" s="10"/>
    </row>
    <row r="584">
      <c r="B584" s="9"/>
      <c r="C584" s="10"/>
      <c r="D584" s="11"/>
      <c r="E584" s="10"/>
      <c r="F584" s="10"/>
    </row>
    <row r="585">
      <c r="B585" s="9"/>
      <c r="C585" s="10"/>
      <c r="D585" s="11"/>
      <c r="E585" s="10"/>
      <c r="F585" s="10"/>
    </row>
    <row r="586">
      <c r="B586" s="9"/>
      <c r="C586" s="10"/>
      <c r="D586" s="11"/>
      <c r="E586" s="10"/>
      <c r="F586" s="10"/>
    </row>
    <row r="587">
      <c r="B587" s="9"/>
      <c r="C587" s="10"/>
      <c r="D587" s="11"/>
      <c r="E587" s="10"/>
      <c r="F587" s="10"/>
    </row>
    <row r="588">
      <c r="B588" s="9"/>
      <c r="C588" s="10"/>
      <c r="D588" s="11"/>
      <c r="E588" s="10"/>
      <c r="F588" s="10"/>
    </row>
    <row r="589">
      <c r="B589" s="9"/>
      <c r="C589" s="10"/>
      <c r="D589" s="11"/>
      <c r="E589" s="10"/>
      <c r="F589" s="10"/>
    </row>
    <row r="590">
      <c r="B590" s="9"/>
      <c r="C590" s="10"/>
      <c r="D590" s="11"/>
      <c r="E590" s="10"/>
      <c r="F590" s="10"/>
    </row>
    <row r="591">
      <c r="B591" s="9"/>
      <c r="C591" s="10"/>
      <c r="D591" s="11"/>
      <c r="E591" s="10"/>
      <c r="F591" s="10"/>
    </row>
    <row r="592">
      <c r="B592" s="9"/>
      <c r="C592" s="10"/>
      <c r="D592" s="11"/>
      <c r="E592" s="10"/>
      <c r="F592" s="10"/>
    </row>
    <row r="593">
      <c r="B593" s="9"/>
      <c r="C593" s="10"/>
      <c r="D593" s="11"/>
      <c r="E593" s="10"/>
      <c r="F593" s="10"/>
    </row>
    <row r="594">
      <c r="B594" s="9"/>
      <c r="C594" s="10"/>
      <c r="D594" s="11"/>
      <c r="E594" s="10"/>
      <c r="F594" s="10"/>
    </row>
    <row r="595">
      <c r="B595" s="9"/>
      <c r="C595" s="10"/>
      <c r="D595" s="11"/>
      <c r="E595" s="10"/>
      <c r="F595" s="10"/>
    </row>
    <row r="596">
      <c r="B596" s="9"/>
      <c r="C596" s="10"/>
      <c r="D596" s="11"/>
      <c r="E596" s="10"/>
      <c r="F596" s="10"/>
    </row>
    <row r="597">
      <c r="B597" s="9"/>
      <c r="C597" s="10"/>
      <c r="D597" s="11"/>
      <c r="E597" s="10"/>
      <c r="F597" s="10"/>
    </row>
    <row r="598">
      <c r="B598" s="9"/>
      <c r="C598" s="10"/>
      <c r="D598" s="11"/>
      <c r="E598" s="10"/>
      <c r="F598" s="10"/>
    </row>
    <row r="599">
      <c r="B599" s="9"/>
      <c r="C599" s="10"/>
      <c r="D599" s="11"/>
      <c r="E599" s="10"/>
      <c r="F599" s="10"/>
    </row>
    <row r="600">
      <c r="B600" s="9"/>
      <c r="C600" s="10"/>
      <c r="D600" s="11"/>
      <c r="E600" s="10"/>
      <c r="F600" s="10"/>
    </row>
    <row r="601">
      <c r="B601" s="9"/>
      <c r="C601" s="10"/>
      <c r="D601" s="11"/>
      <c r="E601" s="10"/>
      <c r="F601" s="10"/>
    </row>
    <row r="602">
      <c r="B602" s="9"/>
      <c r="C602" s="10"/>
      <c r="D602" s="11"/>
      <c r="E602" s="10"/>
      <c r="F602" s="10"/>
    </row>
    <row r="603">
      <c r="B603" s="9"/>
      <c r="C603" s="10"/>
      <c r="D603" s="11"/>
      <c r="E603" s="10"/>
      <c r="F603" s="10"/>
    </row>
    <row r="604">
      <c r="B604" s="9"/>
      <c r="C604" s="10"/>
      <c r="D604" s="11"/>
      <c r="E604" s="10"/>
      <c r="F604" s="10"/>
    </row>
    <row r="605">
      <c r="B605" s="9"/>
      <c r="C605" s="10"/>
      <c r="D605" s="11"/>
      <c r="E605" s="10"/>
      <c r="F605" s="10"/>
    </row>
    <row r="606">
      <c r="B606" s="9"/>
      <c r="C606" s="10"/>
      <c r="D606" s="11"/>
      <c r="E606" s="10"/>
      <c r="F606" s="10"/>
    </row>
    <row r="607">
      <c r="B607" s="9"/>
      <c r="C607" s="10"/>
      <c r="D607" s="11"/>
      <c r="E607" s="10"/>
      <c r="F607" s="10"/>
    </row>
    <row r="608">
      <c r="B608" s="9"/>
      <c r="C608" s="10"/>
      <c r="D608" s="11"/>
      <c r="E608" s="10"/>
      <c r="F608" s="10"/>
    </row>
    <row r="609">
      <c r="B609" s="9"/>
      <c r="C609" s="10"/>
      <c r="D609" s="11"/>
      <c r="E609" s="10"/>
      <c r="F609" s="10"/>
    </row>
    <row r="610">
      <c r="B610" s="9"/>
      <c r="C610" s="10"/>
      <c r="D610" s="11"/>
      <c r="E610" s="10"/>
      <c r="F610" s="10"/>
    </row>
    <row r="611">
      <c r="B611" s="9"/>
      <c r="C611" s="10"/>
      <c r="D611" s="11"/>
      <c r="E611" s="10"/>
      <c r="F611" s="10"/>
    </row>
    <row r="612">
      <c r="B612" s="9"/>
      <c r="C612" s="10"/>
      <c r="D612" s="11"/>
      <c r="E612" s="10"/>
      <c r="F612" s="10"/>
    </row>
    <row r="613">
      <c r="B613" s="9"/>
      <c r="C613" s="10"/>
      <c r="D613" s="11"/>
      <c r="E613" s="10"/>
      <c r="F613" s="10"/>
    </row>
    <row r="614">
      <c r="B614" s="9"/>
      <c r="C614" s="10"/>
      <c r="D614" s="11"/>
      <c r="E614" s="10"/>
      <c r="F614" s="10"/>
    </row>
    <row r="615">
      <c r="B615" s="9"/>
      <c r="C615" s="10"/>
      <c r="D615" s="11"/>
      <c r="E615" s="10"/>
      <c r="F615" s="10"/>
    </row>
    <row r="616">
      <c r="B616" s="9"/>
      <c r="C616" s="10"/>
      <c r="D616" s="11"/>
      <c r="E616" s="10"/>
      <c r="F616" s="10"/>
    </row>
    <row r="617">
      <c r="B617" s="9"/>
      <c r="C617" s="10"/>
      <c r="D617" s="11"/>
      <c r="E617" s="10"/>
      <c r="F617" s="10"/>
    </row>
    <row r="618">
      <c r="B618" s="9"/>
      <c r="C618" s="10"/>
      <c r="D618" s="11"/>
      <c r="E618" s="10"/>
      <c r="F618" s="10"/>
    </row>
    <row r="619">
      <c r="B619" s="9"/>
      <c r="C619" s="10"/>
      <c r="D619" s="11"/>
      <c r="E619" s="10"/>
      <c r="F619" s="10"/>
    </row>
    <row r="620">
      <c r="B620" s="9"/>
      <c r="C620" s="10"/>
      <c r="D620" s="11"/>
      <c r="E620" s="10"/>
      <c r="F620" s="10"/>
    </row>
    <row r="621">
      <c r="B621" s="9"/>
      <c r="C621" s="10"/>
      <c r="D621" s="11"/>
      <c r="E621" s="10"/>
      <c r="F621" s="10"/>
    </row>
    <row r="622">
      <c r="B622" s="9"/>
      <c r="C622" s="10"/>
      <c r="D622" s="11"/>
      <c r="E622" s="10"/>
      <c r="F622" s="10"/>
    </row>
    <row r="623">
      <c r="B623" s="9"/>
      <c r="C623" s="10"/>
      <c r="D623" s="11"/>
      <c r="E623" s="10"/>
      <c r="F623" s="10"/>
    </row>
    <row r="624">
      <c r="B624" s="9"/>
      <c r="C624" s="10"/>
      <c r="D624" s="11"/>
      <c r="E624" s="10"/>
      <c r="F624" s="10"/>
    </row>
    <row r="625">
      <c r="B625" s="9"/>
      <c r="C625" s="10"/>
      <c r="D625" s="11"/>
      <c r="E625" s="10"/>
      <c r="F625" s="10"/>
    </row>
    <row r="626">
      <c r="B626" s="9"/>
      <c r="C626" s="10"/>
      <c r="D626" s="11"/>
      <c r="E626" s="10"/>
      <c r="F626" s="10"/>
    </row>
    <row r="627">
      <c r="B627" s="9"/>
      <c r="C627" s="10"/>
      <c r="D627" s="11"/>
      <c r="E627" s="10"/>
      <c r="F627" s="10"/>
    </row>
    <row r="628">
      <c r="B628" s="9"/>
      <c r="C628" s="10"/>
      <c r="D628" s="11"/>
      <c r="E628" s="10"/>
      <c r="F628" s="10"/>
    </row>
    <row r="629">
      <c r="B629" s="9"/>
      <c r="C629" s="10"/>
      <c r="D629" s="11"/>
      <c r="E629" s="10"/>
      <c r="F629" s="10"/>
    </row>
    <row r="630">
      <c r="B630" s="9"/>
      <c r="C630" s="10"/>
      <c r="D630" s="11"/>
      <c r="E630" s="10"/>
      <c r="F630" s="10"/>
    </row>
    <row r="631">
      <c r="B631" s="9"/>
      <c r="C631" s="10"/>
      <c r="D631" s="11"/>
      <c r="E631" s="10"/>
      <c r="F631" s="10"/>
    </row>
    <row r="632">
      <c r="B632" s="9"/>
      <c r="C632" s="10"/>
      <c r="D632" s="11"/>
      <c r="E632" s="10"/>
      <c r="F632" s="10"/>
    </row>
    <row r="633">
      <c r="B633" s="9"/>
      <c r="C633" s="10"/>
      <c r="D633" s="11"/>
      <c r="E633" s="10"/>
      <c r="F633" s="10"/>
    </row>
    <row r="634">
      <c r="B634" s="9"/>
      <c r="C634" s="10"/>
      <c r="D634" s="11"/>
      <c r="E634" s="10"/>
      <c r="F634" s="10"/>
    </row>
    <row r="635">
      <c r="B635" s="9"/>
      <c r="C635" s="10"/>
      <c r="D635" s="11"/>
      <c r="E635" s="10"/>
      <c r="F635" s="10"/>
    </row>
    <row r="636">
      <c r="B636" s="9"/>
      <c r="C636" s="10"/>
      <c r="D636" s="11"/>
      <c r="E636" s="10"/>
      <c r="F636" s="10"/>
    </row>
    <row r="637">
      <c r="B637" s="9"/>
      <c r="C637" s="10"/>
      <c r="D637" s="11"/>
      <c r="E637" s="10"/>
      <c r="F637" s="10"/>
    </row>
    <row r="638">
      <c r="B638" s="9"/>
      <c r="C638" s="10"/>
      <c r="D638" s="11"/>
      <c r="E638" s="10"/>
      <c r="F638" s="10"/>
    </row>
    <row r="639">
      <c r="B639" s="9"/>
      <c r="C639" s="10"/>
      <c r="D639" s="11"/>
      <c r="E639" s="10"/>
      <c r="F639" s="10"/>
    </row>
    <row r="640">
      <c r="B640" s="9"/>
      <c r="C640" s="10"/>
      <c r="D640" s="11"/>
      <c r="E640" s="10"/>
      <c r="F640" s="10"/>
    </row>
    <row r="641">
      <c r="B641" s="9"/>
      <c r="C641" s="10"/>
      <c r="D641" s="11"/>
      <c r="E641" s="10"/>
      <c r="F641" s="10"/>
    </row>
    <row r="642">
      <c r="B642" s="9"/>
      <c r="C642" s="10"/>
      <c r="D642" s="11"/>
      <c r="E642" s="10"/>
      <c r="F642" s="10"/>
    </row>
    <row r="643">
      <c r="B643" s="9"/>
      <c r="C643" s="10"/>
      <c r="D643" s="11"/>
      <c r="E643" s="10"/>
      <c r="F643" s="10"/>
    </row>
    <row r="644">
      <c r="B644" s="9"/>
      <c r="C644" s="10"/>
      <c r="D644" s="11"/>
      <c r="E644" s="10"/>
      <c r="F644" s="10"/>
    </row>
    <row r="645">
      <c r="B645" s="9"/>
      <c r="C645" s="10"/>
      <c r="D645" s="11"/>
      <c r="E645" s="10"/>
      <c r="F645" s="10"/>
    </row>
    <row r="646">
      <c r="B646" s="9"/>
      <c r="C646" s="10"/>
      <c r="D646" s="11"/>
      <c r="E646" s="10"/>
      <c r="F646" s="10"/>
    </row>
    <row r="647">
      <c r="B647" s="9"/>
      <c r="C647" s="10"/>
      <c r="D647" s="11"/>
      <c r="E647" s="10"/>
      <c r="F647" s="10"/>
    </row>
    <row r="648">
      <c r="B648" s="9"/>
      <c r="C648" s="10"/>
      <c r="D648" s="11"/>
      <c r="E648" s="10"/>
      <c r="F648" s="10"/>
    </row>
    <row r="649">
      <c r="B649" s="9"/>
      <c r="C649" s="10"/>
      <c r="D649" s="11"/>
      <c r="E649" s="10"/>
      <c r="F649" s="10"/>
    </row>
    <row r="650">
      <c r="B650" s="9"/>
      <c r="C650" s="10"/>
      <c r="D650" s="11"/>
      <c r="E650" s="10"/>
      <c r="F650" s="10"/>
    </row>
    <row r="651">
      <c r="B651" s="9"/>
      <c r="C651" s="10"/>
      <c r="D651" s="11"/>
      <c r="E651" s="10"/>
      <c r="F651" s="10"/>
    </row>
    <row r="652">
      <c r="B652" s="9"/>
      <c r="C652" s="10"/>
      <c r="D652" s="11"/>
      <c r="E652" s="10"/>
      <c r="F652" s="10"/>
    </row>
    <row r="653">
      <c r="B653" s="9"/>
      <c r="C653" s="10"/>
      <c r="D653" s="11"/>
      <c r="E653" s="10"/>
      <c r="F653" s="10"/>
    </row>
    <row r="654">
      <c r="B654" s="9"/>
      <c r="C654" s="10"/>
      <c r="D654" s="11"/>
      <c r="E654" s="10"/>
      <c r="F654" s="10"/>
    </row>
    <row r="655">
      <c r="B655" s="9"/>
      <c r="C655" s="10"/>
      <c r="D655" s="11"/>
      <c r="E655" s="10"/>
      <c r="F655" s="10"/>
    </row>
    <row r="656">
      <c r="B656" s="9"/>
      <c r="C656" s="10"/>
      <c r="D656" s="11"/>
      <c r="E656" s="10"/>
      <c r="F656" s="10"/>
    </row>
    <row r="657">
      <c r="B657" s="9"/>
      <c r="C657" s="10"/>
      <c r="D657" s="11"/>
      <c r="E657" s="10"/>
      <c r="F657" s="10"/>
    </row>
    <row r="658">
      <c r="B658" s="9"/>
      <c r="C658" s="10"/>
      <c r="D658" s="11"/>
      <c r="E658" s="10"/>
      <c r="F658" s="10"/>
    </row>
    <row r="659">
      <c r="B659" s="9"/>
      <c r="C659" s="10"/>
      <c r="D659" s="11"/>
      <c r="E659" s="10"/>
      <c r="F659" s="10"/>
    </row>
    <row r="660">
      <c r="B660" s="9"/>
      <c r="C660" s="10"/>
      <c r="D660" s="11"/>
      <c r="E660" s="10"/>
      <c r="F660" s="10"/>
    </row>
    <row r="661">
      <c r="B661" s="9"/>
      <c r="C661" s="10"/>
      <c r="D661" s="11"/>
      <c r="E661" s="10"/>
      <c r="F661" s="10"/>
    </row>
    <row r="662">
      <c r="B662" s="9"/>
      <c r="C662" s="10"/>
      <c r="D662" s="11"/>
      <c r="E662" s="10"/>
      <c r="F662" s="10"/>
    </row>
    <row r="663">
      <c r="B663" s="9"/>
      <c r="C663" s="10"/>
      <c r="D663" s="11"/>
      <c r="E663" s="10"/>
      <c r="F663" s="10"/>
    </row>
    <row r="664">
      <c r="B664" s="9"/>
      <c r="C664" s="10"/>
      <c r="D664" s="11"/>
      <c r="E664" s="10"/>
      <c r="F664" s="10"/>
    </row>
    <row r="665">
      <c r="B665" s="9"/>
      <c r="C665" s="10"/>
      <c r="D665" s="11"/>
      <c r="E665" s="10"/>
      <c r="F665" s="10"/>
    </row>
    <row r="666">
      <c r="B666" s="9"/>
      <c r="C666" s="10"/>
      <c r="D666" s="11"/>
      <c r="E666" s="10"/>
      <c r="F666" s="10"/>
    </row>
    <row r="667">
      <c r="B667" s="9"/>
      <c r="C667" s="10"/>
      <c r="D667" s="11"/>
      <c r="E667" s="10"/>
      <c r="F667" s="10"/>
    </row>
    <row r="668">
      <c r="B668" s="9"/>
      <c r="C668" s="10"/>
      <c r="D668" s="11"/>
      <c r="E668" s="10"/>
      <c r="F668" s="10"/>
    </row>
    <row r="669">
      <c r="B669" s="9"/>
      <c r="C669" s="10"/>
      <c r="D669" s="11"/>
      <c r="E669" s="10"/>
      <c r="F669" s="10"/>
    </row>
    <row r="670">
      <c r="B670" s="9"/>
      <c r="C670" s="10"/>
      <c r="D670" s="11"/>
      <c r="E670" s="10"/>
      <c r="F670" s="10"/>
    </row>
    <row r="671">
      <c r="B671" s="9"/>
      <c r="C671" s="10"/>
      <c r="D671" s="11"/>
      <c r="E671" s="10"/>
      <c r="F671" s="10"/>
    </row>
    <row r="672">
      <c r="B672" s="9"/>
      <c r="C672" s="10"/>
      <c r="D672" s="11"/>
      <c r="E672" s="10"/>
      <c r="F672" s="10"/>
    </row>
    <row r="673">
      <c r="B673" s="9"/>
      <c r="C673" s="10"/>
      <c r="D673" s="11"/>
      <c r="E673" s="10"/>
      <c r="F673" s="10"/>
    </row>
    <row r="674">
      <c r="B674" s="9"/>
      <c r="C674" s="10"/>
      <c r="D674" s="11"/>
      <c r="E674" s="10"/>
      <c r="F674" s="10"/>
    </row>
    <row r="675">
      <c r="B675" s="9"/>
      <c r="C675" s="10"/>
      <c r="D675" s="11"/>
      <c r="E675" s="10"/>
      <c r="F675" s="10"/>
    </row>
    <row r="676">
      <c r="B676" s="9"/>
      <c r="C676" s="10"/>
      <c r="D676" s="11"/>
      <c r="E676" s="10"/>
      <c r="F676" s="10"/>
    </row>
    <row r="677">
      <c r="B677" s="9"/>
      <c r="C677" s="10"/>
      <c r="D677" s="11"/>
      <c r="E677" s="10"/>
      <c r="F677" s="10"/>
    </row>
    <row r="678">
      <c r="B678" s="9"/>
      <c r="C678" s="10"/>
      <c r="D678" s="11"/>
      <c r="E678" s="10"/>
      <c r="F678" s="10"/>
    </row>
    <row r="679">
      <c r="B679" s="9"/>
      <c r="C679" s="10"/>
      <c r="D679" s="11"/>
      <c r="E679" s="10"/>
      <c r="F679" s="10"/>
    </row>
    <row r="680">
      <c r="B680" s="9"/>
      <c r="C680" s="10"/>
      <c r="D680" s="11"/>
      <c r="E680" s="10"/>
      <c r="F680" s="10"/>
    </row>
    <row r="681">
      <c r="B681" s="9"/>
      <c r="C681" s="10"/>
      <c r="D681" s="11"/>
      <c r="E681" s="10"/>
      <c r="F681" s="10"/>
    </row>
    <row r="682">
      <c r="B682" s="9"/>
      <c r="C682" s="10"/>
      <c r="D682" s="11"/>
      <c r="E682" s="10"/>
      <c r="F682" s="10"/>
    </row>
    <row r="683">
      <c r="B683" s="9"/>
      <c r="C683" s="10"/>
      <c r="D683" s="11"/>
      <c r="E683" s="10"/>
      <c r="F683" s="10"/>
    </row>
    <row r="684">
      <c r="B684" s="9"/>
      <c r="C684" s="10"/>
      <c r="D684" s="11"/>
      <c r="E684" s="10"/>
      <c r="F684" s="10"/>
    </row>
    <row r="685">
      <c r="B685" s="9"/>
      <c r="C685" s="10"/>
      <c r="D685" s="11"/>
      <c r="E685" s="10"/>
      <c r="F685" s="10"/>
    </row>
    <row r="686">
      <c r="B686" s="9"/>
      <c r="C686" s="10"/>
      <c r="D686" s="11"/>
      <c r="E686" s="10"/>
      <c r="F686" s="10"/>
    </row>
    <row r="687">
      <c r="B687" s="9"/>
      <c r="C687" s="10"/>
      <c r="D687" s="11"/>
      <c r="E687" s="10"/>
      <c r="F687" s="10"/>
    </row>
    <row r="688">
      <c r="B688" s="9"/>
      <c r="C688" s="10"/>
      <c r="D688" s="11"/>
      <c r="E688" s="10"/>
      <c r="F688" s="10"/>
    </row>
    <row r="689">
      <c r="B689" s="9"/>
      <c r="C689" s="10"/>
      <c r="D689" s="11"/>
      <c r="E689" s="10"/>
      <c r="F689" s="10"/>
    </row>
    <row r="690">
      <c r="B690" s="9"/>
      <c r="C690" s="10"/>
      <c r="D690" s="11"/>
      <c r="E690" s="10"/>
      <c r="F690" s="10"/>
    </row>
    <row r="691">
      <c r="B691" s="9"/>
      <c r="C691" s="10"/>
      <c r="D691" s="11"/>
      <c r="E691" s="10"/>
      <c r="F691" s="10"/>
    </row>
    <row r="692">
      <c r="B692" s="9"/>
      <c r="C692" s="10"/>
      <c r="D692" s="11"/>
      <c r="E692" s="10"/>
      <c r="F692" s="10"/>
    </row>
    <row r="693">
      <c r="B693" s="9"/>
      <c r="C693" s="10"/>
      <c r="D693" s="11"/>
      <c r="E693" s="10"/>
      <c r="F693" s="10"/>
    </row>
    <row r="694">
      <c r="B694" s="9"/>
      <c r="C694" s="10"/>
      <c r="D694" s="11"/>
      <c r="E694" s="10"/>
      <c r="F694" s="10"/>
    </row>
    <row r="695">
      <c r="B695" s="9"/>
      <c r="C695" s="10"/>
      <c r="D695" s="11"/>
      <c r="E695" s="10"/>
      <c r="F695" s="10"/>
    </row>
    <row r="696">
      <c r="B696" s="9"/>
      <c r="C696" s="10"/>
      <c r="D696" s="11"/>
      <c r="E696" s="10"/>
      <c r="F696" s="10"/>
    </row>
    <row r="697">
      <c r="B697" s="9"/>
      <c r="C697" s="10"/>
      <c r="D697" s="11"/>
      <c r="E697" s="10"/>
      <c r="F697" s="10"/>
    </row>
    <row r="698">
      <c r="B698" s="9"/>
      <c r="C698" s="10"/>
      <c r="D698" s="11"/>
      <c r="E698" s="10"/>
      <c r="F698" s="10"/>
    </row>
    <row r="699">
      <c r="B699" s="9"/>
      <c r="C699" s="10"/>
      <c r="D699" s="11"/>
      <c r="E699" s="10"/>
      <c r="F699" s="10"/>
    </row>
    <row r="700">
      <c r="B700" s="9"/>
      <c r="C700" s="10"/>
      <c r="D700" s="11"/>
      <c r="E700" s="10"/>
      <c r="F700" s="10"/>
    </row>
    <row r="701">
      <c r="B701" s="9"/>
      <c r="C701" s="10"/>
      <c r="D701" s="11"/>
      <c r="E701" s="10"/>
      <c r="F701" s="10"/>
    </row>
    <row r="702">
      <c r="B702" s="9"/>
      <c r="C702" s="10"/>
      <c r="D702" s="11"/>
      <c r="E702" s="10"/>
      <c r="F702" s="10"/>
    </row>
    <row r="703">
      <c r="B703" s="9"/>
      <c r="C703" s="10"/>
      <c r="D703" s="11"/>
      <c r="E703" s="10"/>
      <c r="F703" s="10"/>
    </row>
    <row r="704">
      <c r="B704" s="9"/>
      <c r="C704" s="10"/>
      <c r="D704" s="11"/>
      <c r="E704" s="10"/>
      <c r="F704" s="10"/>
    </row>
    <row r="705">
      <c r="B705" s="9"/>
      <c r="C705" s="10"/>
      <c r="D705" s="11"/>
      <c r="E705" s="10"/>
      <c r="F705" s="10"/>
    </row>
    <row r="706">
      <c r="B706" s="9"/>
      <c r="C706" s="10"/>
      <c r="D706" s="11"/>
      <c r="E706" s="10"/>
      <c r="F706" s="10"/>
    </row>
    <row r="707">
      <c r="B707" s="9"/>
      <c r="C707" s="10"/>
      <c r="D707" s="11"/>
      <c r="E707" s="10"/>
      <c r="F707" s="10"/>
    </row>
    <row r="708">
      <c r="B708" s="9"/>
      <c r="C708" s="10"/>
      <c r="D708" s="11"/>
      <c r="E708" s="10"/>
      <c r="F708" s="10"/>
    </row>
    <row r="709">
      <c r="B709" s="9"/>
      <c r="C709" s="10"/>
      <c r="D709" s="11"/>
      <c r="E709" s="10"/>
      <c r="F709" s="10"/>
    </row>
    <row r="710">
      <c r="B710" s="9"/>
      <c r="C710" s="10"/>
      <c r="D710" s="11"/>
      <c r="E710" s="10"/>
      <c r="F710" s="10"/>
    </row>
    <row r="711">
      <c r="B711" s="9"/>
      <c r="C711" s="10"/>
      <c r="D711" s="11"/>
      <c r="E711" s="10"/>
      <c r="F711" s="10"/>
    </row>
    <row r="712">
      <c r="B712" s="9"/>
      <c r="C712" s="10"/>
      <c r="D712" s="11"/>
      <c r="E712" s="10"/>
      <c r="F712" s="10"/>
    </row>
    <row r="713">
      <c r="B713" s="9"/>
      <c r="C713" s="10"/>
      <c r="D713" s="11"/>
      <c r="E713" s="10"/>
      <c r="F713" s="10"/>
    </row>
    <row r="714">
      <c r="B714" s="9"/>
      <c r="C714" s="10"/>
      <c r="D714" s="11"/>
      <c r="E714" s="10"/>
      <c r="F714" s="10"/>
    </row>
    <row r="715">
      <c r="B715" s="9"/>
      <c r="C715" s="10"/>
      <c r="D715" s="11"/>
      <c r="E715" s="10"/>
      <c r="F715" s="10"/>
    </row>
    <row r="716">
      <c r="B716" s="9"/>
      <c r="C716" s="10"/>
      <c r="D716" s="11"/>
      <c r="E716" s="10"/>
      <c r="F716" s="10"/>
    </row>
    <row r="717">
      <c r="B717" s="9"/>
      <c r="C717" s="10"/>
      <c r="D717" s="11"/>
      <c r="E717" s="10"/>
      <c r="F717" s="10"/>
    </row>
    <row r="718">
      <c r="B718" s="9"/>
      <c r="C718" s="10"/>
      <c r="D718" s="11"/>
      <c r="E718" s="10"/>
      <c r="F718" s="10"/>
    </row>
    <row r="719">
      <c r="B719" s="9"/>
      <c r="C719" s="10"/>
      <c r="D719" s="11"/>
      <c r="E719" s="10"/>
      <c r="F719" s="10"/>
    </row>
    <row r="720">
      <c r="B720" s="9"/>
      <c r="C720" s="10"/>
      <c r="D720" s="11"/>
      <c r="E720" s="10"/>
      <c r="F720" s="10"/>
    </row>
    <row r="721">
      <c r="B721" s="9"/>
      <c r="C721" s="10"/>
      <c r="D721" s="11"/>
      <c r="E721" s="10"/>
      <c r="F721" s="10"/>
    </row>
    <row r="722">
      <c r="B722" s="9"/>
      <c r="C722" s="10"/>
      <c r="D722" s="11"/>
      <c r="E722" s="10"/>
      <c r="F722" s="10"/>
    </row>
    <row r="723">
      <c r="B723" s="9"/>
      <c r="C723" s="10"/>
      <c r="D723" s="11"/>
      <c r="E723" s="10"/>
      <c r="F723" s="10"/>
    </row>
    <row r="724">
      <c r="B724" s="9"/>
      <c r="C724" s="10"/>
      <c r="D724" s="11"/>
      <c r="E724" s="10"/>
      <c r="F724" s="10"/>
    </row>
    <row r="725">
      <c r="B725" s="9"/>
      <c r="C725" s="10"/>
      <c r="D725" s="11"/>
      <c r="E725" s="10"/>
      <c r="F725" s="10"/>
    </row>
    <row r="726">
      <c r="B726" s="9"/>
      <c r="C726" s="10"/>
      <c r="D726" s="11"/>
      <c r="E726" s="10"/>
      <c r="F726" s="10"/>
    </row>
    <row r="727">
      <c r="B727" s="9"/>
      <c r="C727" s="10"/>
      <c r="D727" s="11"/>
      <c r="E727" s="10"/>
      <c r="F727" s="10"/>
    </row>
    <row r="728">
      <c r="B728" s="9"/>
      <c r="C728" s="10"/>
      <c r="D728" s="11"/>
      <c r="E728" s="10"/>
      <c r="F728" s="10"/>
    </row>
    <row r="729">
      <c r="B729" s="9"/>
      <c r="C729" s="10"/>
      <c r="D729" s="11"/>
      <c r="E729" s="10"/>
      <c r="F729" s="10"/>
    </row>
    <row r="730">
      <c r="B730" s="9"/>
      <c r="C730" s="10"/>
      <c r="D730" s="11"/>
      <c r="E730" s="10"/>
      <c r="F730" s="10"/>
    </row>
    <row r="731">
      <c r="B731" s="9"/>
      <c r="C731" s="10"/>
      <c r="D731" s="11"/>
      <c r="E731" s="10"/>
      <c r="F731" s="10"/>
    </row>
    <row r="732">
      <c r="B732" s="9"/>
      <c r="C732" s="10"/>
      <c r="D732" s="11"/>
      <c r="E732" s="10"/>
      <c r="F732" s="10"/>
    </row>
    <row r="733">
      <c r="B733" s="9"/>
      <c r="C733" s="10"/>
      <c r="D733" s="11"/>
      <c r="E733" s="10"/>
      <c r="F733" s="10"/>
    </row>
    <row r="734">
      <c r="B734" s="9"/>
      <c r="C734" s="10"/>
      <c r="D734" s="11"/>
      <c r="E734" s="10"/>
      <c r="F734" s="10"/>
    </row>
    <row r="735">
      <c r="B735" s="9"/>
      <c r="C735" s="10"/>
      <c r="D735" s="11"/>
      <c r="E735" s="10"/>
      <c r="F735" s="10"/>
    </row>
    <row r="736">
      <c r="B736" s="9"/>
      <c r="C736" s="10"/>
      <c r="D736" s="11"/>
      <c r="E736" s="10"/>
      <c r="F736" s="10"/>
    </row>
    <row r="737">
      <c r="B737" s="9"/>
      <c r="C737" s="10"/>
      <c r="D737" s="11"/>
      <c r="E737" s="10"/>
      <c r="F737" s="10"/>
    </row>
    <row r="738">
      <c r="B738" s="9"/>
      <c r="C738" s="10"/>
      <c r="D738" s="11"/>
      <c r="E738" s="10"/>
      <c r="F738" s="10"/>
    </row>
    <row r="739">
      <c r="B739" s="9"/>
      <c r="C739" s="10"/>
      <c r="D739" s="11"/>
      <c r="E739" s="10"/>
      <c r="F739" s="10"/>
    </row>
    <row r="740">
      <c r="B740" s="9"/>
      <c r="C740" s="10"/>
      <c r="D740" s="11"/>
      <c r="E740" s="10"/>
      <c r="F740" s="10"/>
    </row>
    <row r="741">
      <c r="B741" s="9"/>
      <c r="C741" s="10"/>
      <c r="D741" s="11"/>
      <c r="E741" s="10"/>
      <c r="F741" s="10"/>
    </row>
    <row r="742">
      <c r="B742" s="9"/>
      <c r="C742" s="10"/>
      <c r="D742" s="11"/>
      <c r="E742" s="10"/>
      <c r="F742" s="10"/>
    </row>
    <row r="743">
      <c r="B743" s="9"/>
      <c r="C743" s="10"/>
      <c r="D743" s="11"/>
      <c r="E743" s="10"/>
      <c r="F743" s="10"/>
    </row>
    <row r="744">
      <c r="B744" s="9"/>
      <c r="C744" s="10"/>
      <c r="D744" s="11"/>
      <c r="E744" s="10"/>
      <c r="F744" s="10"/>
    </row>
    <row r="745">
      <c r="B745" s="9"/>
      <c r="C745" s="10"/>
      <c r="D745" s="11"/>
      <c r="E745" s="10"/>
      <c r="F745" s="10"/>
    </row>
    <row r="746">
      <c r="B746" s="9"/>
      <c r="C746" s="10"/>
      <c r="D746" s="11"/>
      <c r="E746" s="10"/>
      <c r="F746" s="10"/>
    </row>
    <row r="747">
      <c r="B747" s="9"/>
      <c r="C747" s="10"/>
      <c r="D747" s="11"/>
      <c r="E747" s="10"/>
      <c r="F747" s="10"/>
    </row>
    <row r="748">
      <c r="B748" s="9"/>
      <c r="C748" s="10"/>
      <c r="D748" s="11"/>
      <c r="E748" s="10"/>
      <c r="F748" s="10"/>
    </row>
    <row r="749">
      <c r="B749" s="9"/>
      <c r="C749" s="10"/>
      <c r="D749" s="11"/>
      <c r="E749" s="10"/>
      <c r="F749" s="10"/>
    </row>
    <row r="750">
      <c r="B750" s="9"/>
      <c r="C750" s="10"/>
      <c r="D750" s="11"/>
      <c r="E750" s="10"/>
      <c r="F750" s="10"/>
    </row>
    <row r="751">
      <c r="B751" s="9"/>
      <c r="C751" s="10"/>
      <c r="D751" s="11"/>
      <c r="E751" s="10"/>
      <c r="F751" s="10"/>
    </row>
    <row r="752">
      <c r="B752" s="9"/>
      <c r="C752" s="10"/>
      <c r="D752" s="11"/>
      <c r="E752" s="10"/>
      <c r="F752" s="10"/>
    </row>
    <row r="753">
      <c r="B753" s="9"/>
      <c r="C753" s="10"/>
      <c r="D753" s="11"/>
      <c r="E753" s="10"/>
      <c r="F753" s="10"/>
    </row>
    <row r="754">
      <c r="B754" s="9"/>
      <c r="C754" s="10"/>
      <c r="D754" s="11"/>
      <c r="E754" s="10"/>
      <c r="F754" s="10"/>
    </row>
    <row r="755">
      <c r="B755" s="9"/>
      <c r="C755" s="10"/>
      <c r="D755" s="11"/>
      <c r="E755" s="10"/>
      <c r="F755" s="10"/>
    </row>
    <row r="756">
      <c r="B756" s="9"/>
      <c r="C756" s="10"/>
      <c r="D756" s="11"/>
      <c r="E756" s="10"/>
      <c r="F756" s="10"/>
    </row>
    <row r="757">
      <c r="B757" s="9"/>
      <c r="C757" s="10"/>
      <c r="D757" s="11"/>
      <c r="E757" s="10"/>
      <c r="F757" s="10"/>
    </row>
    <row r="758">
      <c r="B758" s="9"/>
      <c r="C758" s="10"/>
      <c r="D758" s="11"/>
      <c r="E758" s="10"/>
      <c r="F758" s="10"/>
    </row>
    <row r="759">
      <c r="B759" s="9"/>
      <c r="C759" s="10"/>
      <c r="D759" s="11"/>
      <c r="E759" s="10"/>
      <c r="F759" s="10"/>
    </row>
    <row r="760">
      <c r="B760" s="9"/>
      <c r="C760" s="10"/>
      <c r="D760" s="11"/>
      <c r="E760" s="10"/>
      <c r="F760" s="10"/>
    </row>
    <row r="761">
      <c r="B761" s="9"/>
      <c r="C761" s="10"/>
      <c r="D761" s="11"/>
      <c r="E761" s="10"/>
      <c r="F761" s="10"/>
    </row>
    <row r="762">
      <c r="B762" s="9"/>
      <c r="C762" s="10"/>
      <c r="D762" s="11"/>
      <c r="E762" s="10"/>
      <c r="F762" s="10"/>
    </row>
    <row r="763">
      <c r="B763" s="9"/>
      <c r="C763" s="10"/>
      <c r="D763" s="11"/>
      <c r="E763" s="10"/>
      <c r="F763" s="10"/>
    </row>
    <row r="764">
      <c r="B764" s="9"/>
      <c r="C764" s="10"/>
      <c r="D764" s="11"/>
      <c r="E764" s="10"/>
      <c r="F764" s="10"/>
    </row>
    <row r="765">
      <c r="B765" s="9"/>
      <c r="C765" s="10"/>
      <c r="D765" s="11"/>
      <c r="E765" s="10"/>
      <c r="F765" s="10"/>
    </row>
    <row r="766">
      <c r="B766" s="9"/>
      <c r="C766" s="10"/>
      <c r="D766" s="11"/>
      <c r="E766" s="10"/>
      <c r="F766" s="10"/>
    </row>
    <row r="767">
      <c r="B767" s="9"/>
      <c r="C767" s="10"/>
      <c r="D767" s="11"/>
      <c r="E767" s="10"/>
      <c r="F767" s="10"/>
    </row>
    <row r="768">
      <c r="B768" s="9"/>
      <c r="C768" s="10"/>
      <c r="D768" s="11"/>
      <c r="E768" s="10"/>
      <c r="F768" s="10"/>
    </row>
    <row r="769">
      <c r="B769" s="9"/>
      <c r="C769" s="10"/>
      <c r="D769" s="11"/>
      <c r="E769" s="10"/>
      <c r="F769" s="10"/>
    </row>
    <row r="770">
      <c r="B770" s="9"/>
      <c r="C770" s="10"/>
      <c r="D770" s="11"/>
      <c r="E770" s="10"/>
      <c r="F770" s="10"/>
    </row>
    <row r="771">
      <c r="B771" s="9"/>
      <c r="C771" s="10"/>
      <c r="D771" s="11"/>
      <c r="E771" s="10"/>
      <c r="F771" s="10"/>
    </row>
    <row r="772">
      <c r="B772" s="9"/>
      <c r="C772" s="10"/>
      <c r="D772" s="11"/>
      <c r="E772" s="10"/>
      <c r="F772" s="10"/>
    </row>
    <row r="773">
      <c r="B773" s="9"/>
      <c r="C773" s="10"/>
      <c r="D773" s="11"/>
      <c r="E773" s="10"/>
      <c r="F773" s="10"/>
    </row>
    <row r="774">
      <c r="B774" s="9"/>
      <c r="C774" s="10"/>
      <c r="D774" s="11"/>
      <c r="E774" s="10"/>
      <c r="F774" s="10"/>
    </row>
    <row r="775">
      <c r="B775" s="9"/>
      <c r="C775" s="10"/>
      <c r="D775" s="11"/>
      <c r="E775" s="10"/>
      <c r="F775" s="10"/>
    </row>
    <row r="776">
      <c r="B776" s="9"/>
      <c r="C776" s="10"/>
      <c r="D776" s="11"/>
      <c r="E776" s="10"/>
      <c r="F776" s="10"/>
    </row>
    <row r="777">
      <c r="B777" s="9"/>
      <c r="C777" s="10"/>
      <c r="D777" s="11"/>
      <c r="E777" s="10"/>
      <c r="F777" s="10"/>
    </row>
    <row r="778">
      <c r="B778" s="9"/>
      <c r="C778" s="10"/>
      <c r="D778" s="11"/>
      <c r="E778" s="10"/>
      <c r="F778" s="10"/>
    </row>
    <row r="779">
      <c r="B779" s="9"/>
      <c r="C779" s="10"/>
      <c r="D779" s="11"/>
      <c r="E779" s="10"/>
      <c r="F779" s="10"/>
    </row>
    <row r="780">
      <c r="B780" s="9"/>
      <c r="C780" s="10"/>
      <c r="D780" s="11"/>
      <c r="E780" s="10"/>
      <c r="F780" s="10"/>
    </row>
    <row r="781">
      <c r="B781" s="9"/>
      <c r="C781" s="10"/>
      <c r="D781" s="11"/>
      <c r="E781" s="10"/>
      <c r="F781" s="10"/>
    </row>
    <row r="782">
      <c r="B782" s="9"/>
      <c r="C782" s="10"/>
      <c r="D782" s="11"/>
      <c r="E782" s="10"/>
      <c r="F782" s="10"/>
    </row>
    <row r="783">
      <c r="B783" s="9"/>
      <c r="C783" s="10"/>
      <c r="D783" s="11"/>
      <c r="E783" s="10"/>
      <c r="F783" s="10"/>
    </row>
    <row r="784">
      <c r="B784" s="9"/>
      <c r="C784" s="10"/>
      <c r="D784" s="11"/>
      <c r="E784" s="10"/>
      <c r="F784" s="10"/>
    </row>
    <row r="785">
      <c r="B785" s="9"/>
      <c r="C785" s="10"/>
      <c r="D785" s="11"/>
      <c r="E785" s="10"/>
      <c r="F785" s="10"/>
    </row>
    <row r="786">
      <c r="B786" s="9"/>
      <c r="C786" s="10"/>
      <c r="D786" s="11"/>
      <c r="E786" s="10"/>
      <c r="F786" s="10"/>
    </row>
    <row r="787">
      <c r="B787" s="9"/>
      <c r="C787" s="10"/>
      <c r="D787" s="11"/>
      <c r="E787" s="10"/>
      <c r="F787" s="10"/>
    </row>
    <row r="788">
      <c r="B788" s="9"/>
      <c r="C788" s="10"/>
      <c r="D788" s="11"/>
      <c r="E788" s="10"/>
      <c r="F788" s="10"/>
    </row>
    <row r="789">
      <c r="B789" s="9"/>
      <c r="C789" s="10"/>
      <c r="D789" s="11"/>
      <c r="E789" s="10"/>
      <c r="F789" s="10"/>
    </row>
    <row r="790">
      <c r="B790" s="9"/>
      <c r="C790" s="10"/>
      <c r="D790" s="11"/>
      <c r="E790" s="10"/>
      <c r="F790" s="10"/>
    </row>
    <row r="791">
      <c r="B791" s="9"/>
      <c r="C791" s="10"/>
      <c r="D791" s="11"/>
      <c r="E791" s="10"/>
      <c r="F791" s="10"/>
    </row>
    <row r="792">
      <c r="B792" s="9"/>
      <c r="C792" s="10"/>
      <c r="D792" s="11"/>
      <c r="E792" s="10"/>
      <c r="F792" s="10"/>
    </row>
    <row r="793">
      <c r="B793" s="9"/>
      <c r="C793" s="10"/>
      <c r="D793" s="11"/>
      <c r="E793" s="10"/>
      <c r="F793" s="10"/>
    </row>
    <row r="794">
      <c r="B794" s="9"/>
      <c r="C794" s="10"/>
      <c r="D794" s="11"/>
      <c r="E794" s="10"/>
      <c r="F794" s="10"/>
    </row>
    <row r="795">
      <c r="B795" s="9"/>
      <c r="C795" s="10"/>
      <c r="D795" s="11"/>
      <c r="E795" s="10"/>
      <c r="F795" s="10"/>
    </row>
    <row r="796">
      <c r="B796" s="9"/>
      <c r="C796" s="10"/>
      <c r="D796" s="11"/>
      <c r="E796" s="10"/>
      <c r="F796" s="10"/>
    </row>
    <row r="797">
      <c r="B797" s="9"/>
      <c r="C797" s="10"/>
      <c r="D797" s="11"/>
      <c r="E797" s="10"/>
      <c r="F797" s="10"/>
    </row>
    <row r="798">
      <c r="B798" s="9"/>
      <c r="C798" s="10"/>
      <c r="D798" s="11"/>
      <c r="E798" s="10"/>
      <c r="F798" s="10"/>
    </row>
    <row r="799">
      <c r="B799" s="9"/>
      <c r="C799" s="10"/>
      <c r="D799" s="11"/>
      <c r="E799" s="10"/>
      <c r="F799" s="10"/>
    </row>
    <row r="800">
      <c r="B800" s="9"/>
      <c r="C800" s="10"/>
      <c r="D800" s="11"/>
      <c r="E800" s="10"/>
      <c r="F800" s="10"/>
    </row>
    <row r="801">
      <c r="B801" s="9"/>
      <c r="C801" s="10"/>
      <c r="D801" s="11"/>
      <c r="E801" s="10"/>
      <c r="F801" s="10"/>
    </row>
    <row r="802">
      <c r="B802" s="9"/>
      <c r="C802" s="10"/>
      <c r="D802" s="11"/>
      <c r="E802" s="10"/>
      <c r="F802" s="10"/>
    </row>
    <row r="803">
      <c r="B803" s="9"/>
      <c r="C803" s="10"/>
      <c r="D803" s="11"/>
      <c r="E803" s="10"/>
      <c r="F803" s="10"/>
    </row>
    <row r="804">
      <c r="B804" s="9"/>
      <c r="C804" s="10"/>
      <c r="D804" s="11"/>
      <c r="E804" s="10"/>
      <c r="F804" s="10"/>
    </row>
    <row r="805">
      <c r="B805" s="9"/>
      <c r="C805" s="10"/>
      <c r="D805" s="11"/>
      <c r="E805" s="10"/>
      <c r="F805" s="10"/>
    </row>
    <row r="806">
      <c r="B806" s="9"/>
      <c r="C806" s="10"/>
      <c r="D806" s="11"/>
      <c r="E806" s="10"/>
      <c r="F806" s="10"/>
    </row>
    <row r="807">
      <c r="B807" s="9"/>
      <c r="C807" s="10"/>
      <c r="D807" s="11"/>
      <c r="E807" s="10"/>
      <c r="F807" s="10"/>
    </row>
    <row r="808">
      <c r="B808" s="9"/>
      <c r="C808" s="10"/>
      <c r="D808" s="11"/>
      <c r="E808" s="10"/>
      <c r="F808" s="10"/>
    </row>
    <row r="809">
      <c r="B809" s="9"/>
      <c r="C809" s="10"/>
      <c r="D809" s="11"/>
      <c r="E809" s="10"/>
      <c r="F809" s="10"/>
    </row>
    <row r="810">
      <c r="B810" s="9"/>
      <c r="C810" s="10"/>
      <c r="D810" s="11"/>
      <c r="E810" s="10"/>
      <c r="F810" s="10"/>
    </row>
    <row r="811">
      <c r="B811" s="9"/>
      <c r="C811" s="10"/>
      <c r="D811" s="11"/>
      <c r="E811" s="10"/>
      <c r="F811" s="10"/>
    </row>
    <row r="812">
      <c r="B812" s="9"/>
      <c r="C812" s="10"/>
      <c r="D812" s="11"/>
      <c r="E812" s="10"/>
      <c r="F812" s="10"/>
    </row>
    <row r="813">
      <c r="B813" s="9"/>
      <c r="C813" s="10"/>
      <c r="D813" s="11"/>
      <c r="E813" s="10"/>
      <c r="F813" s="10"/>
    </row>
    <row r="814">
      <c r="B814" s="9"/>
      <c r="C814" s="10"/>
      <c r="D814" s="11"/>
      <c r="E814" s="10"/>
      <c r="F814" s="10"/>
    </row>
    <row r="815">
      <c r="B815" s="9"/>
      <c r="C815" s="10"/>
      <c r="D815" s="11"/>
      <c r="E815" s="10"/>
      <c r="F815" s="10"/>
    </row>
    <row r="816">
      <c r="B816" s="9"/>
      <c r="C816" s="10"/>
      <c r="D816" s="11"/>
      <c r="E816" s="10"/>
      <c r="F816" s="10"/>
    </row>
    <row r="817">
      <c r="B817" s="9"/>
      <c r="C817" s="10"/>
      <c r="D817" s="11"/>
      <c r="E817" s="10"/>
      <c r="F817" s="10"/>
    </row>
    <row r="818">
      <c r="B818" s="9"/>
      <c r="C818" s="10"/>
      <c r="D818" s="11"/>
      <c r="E818" s="10"/>
      <c r="F818" s="10"/>
    </row>
    <row r="819">
      <c r="B819" s="9"/>
      <c r="C819" s="10"/>
      <c r="D819" s="11"/>
      <c r="E819" s="10"/>
      <c r="F819" s="10"/>
    </row>
    <row r="820">
      <c r="B820" s="9"/>
      <c r="C820" s="10"/>
      <c r="D820" s="11"/>
      <c r="E820" s="10"/>
      <c r="F820" s="10"/>
    </row>
    <row r="821">
      <c r="B821" s="9"/>
      <c r="C821" s="10"/>
      <c r="D821" s="11"/>
      <c r="E821" s="10"/>
      <c r="F821" s="10"/>
    </row>
    <row r="822">
      <c r="B822" s="9"/>
      <c r="C822" s="10"/>
      <c r="D822" s="11"/>
      <c r="E822" s="10"/>
      <c r="F822" s="10"/>
    </row>
    <row r="823">
      <c r="B823" s="9"/>
      <c r="C823" s="10"/>
      <c r="D823" s="11"/>
      <c r="E823" s="10"/>
      <c r="F823" s="10"/>
    </row>
    <row r="824">
      <c r="B824" s="9"/>
      <c r="C824" s="10"/>
      <c r="D824" s="11"/>
      <c r="E824" s="10"/>
      <c r="F824" s="10"/>
    </row>
    <row r="825">
      <c r="B825" s="9"/>
      <c r="C825" s="10"/>
      <c r="D825" s="11"/>
      <c r="E825" s="10"/>
      <c r="F825" s="10"/>
    </row>
    <row r="826">
      <c r="B826" s="9"/>
      <c r="C826" s="10"/>
      <c r="D826" s="11"/>
      <c r="E826" s="10"/>
      <c r="F826" s="10"/>
    </row>
    <row r="827">
      <c r="B827" s="9"/>
      <c r="C827" s="10"/>
      <c r="D827" s="11"/>
      <c r="E827" s="10"/>
      <c r="F827" s="10"/>
    </row>
    <row r="828">
      <c r="B828" s="9"/>
      <c r="C828" s="10"/>
      <c r="D828" s="11"/>
      <c r="E828" s="10"/>
      <c r="F828" s="10"/>
    </row>
    <row r="829">
      <c r="B829" s="9"/>
      <c r="C829" s="10"/>
      <c r="D829" s="11"/>
      <c r="E829" s="10"/>
      <c r="F829" s="10"/>
    </row>
    <row r="830">
      <c r="B830" s="9"/>
      <c r="C830" s="10"/>
      <c r="D830" s="11"/>
      <c r="E830" s="10"/>
      <c r="F830" s="10"/>
    </row>
    <row r="831">
      <c r="B831" s="9"/>
      <c r="C831" s="10"/>
      <c r="D831" s="11"/>
      <c r="E831" s="10"/>
      <c r="F831" s="10"/>
    </row>
    <row r="832">
      <c r="B832" s="9"/>
      <c r="C832" s="10"/>
      <c r="D832" s="11"/>
      <c r="E832" s="10"/>
      <c r="F832" s="10"/>
    </row>
    <row r="833">
      <c r="B833" s="9"/>
      <c r="C833" s="10"/>
      <c r="D833" s="11"/>
      <c r="E833" s="10"/>
      <c r="F833" s="10"/>
    </row>
    <row r="834">
      <c r="B834" s="9"/>
      <c r="C834" s="10"/>
      <c r="D834" s="11"/>
      <c r="E834" s="10"/>
      <c r="F834" s="10"/>
    </row>
    <row r="835">
      <c r="B835" s="9"/>
      <c r="C835" s="10"/>
      <c r="D835" s="11"/>
      <c r="E835" s="10"/>
      <c r="F835" s="10"/>
    </row>
    <row r="836">
      <c r="B836" s="9"/>
      <c r="C836" s="10"/>
      <c r="D836" s="11"/>
      <c r="E836" s="10"/>
      <c r="F836" s="10"/>
    </row>
    <row r="837">
      <c r="B837" s="9"/>
      <c r="C837" s="10"/>
      <c r="D837" s="11"/>
      <c r="E837" s="10"/>
      <c r="F837" s="10"/>
    </row>
    <row r="838">
      <c r="B838" s="9"/>
      <c r="C838" s="10"/>
      <c r="D838" s="11"/>
      <c r="E838" s="10"/>
      <c r="F838" s="10"/>
    </row>
    <row r="839">
      <c r="B839" s="9"/>
      <c r="C839" s="10"/>
      <c r="D839" s="11"/>
      <c r="E839" s="10"/>
      <c r="F839" s="10"/>
    </row>
    <row r="840">
      <c r="B840" s="9"/>
      <c r="C840" s="10"/>
      <c r="D840" s="11"/>
      <c r="E840" s="10"/>
      <c r="F840" s="10"/>
    </row>
    <row r="841">
      <c r="B841" s="9"/>
      <c r="C841" s="10"/>
      <c r="D841" s="11"/>
      <c r="E841" s="10"/>
      <c r="F841" s="10"/>
    </row>
    <row r="842">
      <c r="B842" s="9"/>
      <c r="C842" s="10"/>
      <c r="D842" s="11"/>
      <c r="E842" s="10"/>
      <c r="F842" s="10"/>
    </row>
    <row r="843">
      <c r="B843" s="9"/>
      <c r="C843" s="10"/>
      <c r="D843" s="11"/>
      <c r="E843" s="10"/>
      <c r="F843" s="10"/>
    </row>
    <row r="844">
      <c r="B844" s="9"/>
      <c r="C844" s="10"/>
      <c r="D844" s="11"/>
      <c r="E844" s="10"/>
      <c r="F844" s="10"/>
    </row>
    <row r="845">
      <c r="B845" s="9"/>
      <c r="C845" s="10"/>
      <c r="D845" s="11"/>
      <c r="E845" s="10"/>
      <c r="F845" s="10"/>
    </row>
    <row r="846">
      <c r="B846" s="9"/>
      <c r="C846" s="10"/>
      <c r="D846" s="11"/>
      <c r="E846" s="10"/>
      <c r="F846" s="10"/>
    </row>
    <row r="847">
      <c r="B847" s="9"/>
      <c r="C847" s="10"/>
      <c r="D847" s="11"/>
      <c r="E847" s="10"/>
      <c r="F847" s="10"/>
    </row>
    <row r="848">
      <c r="B848" s="9"/>
      <c r="C848" s="10"/>
      <c r="D848" s="11"/>
      <c r="E848" s="10"/>
      <c r="F848" s="10"/>
    </row>
    <row r="849">
      <c r="B849" s="9"/>
      <c r="C849" s="10"/>
      <c r="D849" s="11"/>
      <c r="E849" s="10"/>
      <c r="F849" s="10"/>
    </row>
    <row r="850">
      <c r="B850" s="9"/>
      <c r="C850" s="10"/>
      <c r="D850" s="11"/>
      <c r="E850" s="10"/>
      <c r="F850" s="10"/>
    </row>
    <row r="851">
      <c r="B851" s="9"/>
      <c r="C851" s="10"/>
      <c r="D851" s="11"/>
      <c r="E851" s="10"/>
      <c r="F851" s="10"/>
    </row>
    <row r="852">
      <c r="B852" s="9"/>
      <c r="C852" s="10"/>
      <c r="D852" s="11"/>
      <c r="E852" s="10"/>
      <c r="F852" s="10"/>
    </row>
    <row r="853">
      <c r="B853" s="9"/>
      <c r="C853" s="10"/>
      <c r="D853" s="11"/>
      <c r="E853" s="10"/>
      <c r="F853" s="10"/>
    </row>
    <row r="854">
      <c r="B854" s="9"/>
      <c r="C854" s="10"/>
      <c r="D854" s="11"/>
      <c r="E854" s="10"/>
      <c r="F854" s="10"/>
    </row>
    <row r="855">
      <c r="B855" s="9"/>
      <c r="C855" s="10"/>
      <c r="D855" s="11"/>
      <c r="E855" s="10"/>
      <c r="F855" s="10"/>
    </row>
    <row r="856">
      <c r="B856" s="9"/>
      <c r="C856" s="10"/>
      <c r="D856" s="11"/>
      <c r="E856" s="10"/>
      <c r="F856" s="10"/>
    </row>
    <row r="857">
      <c r="B857" s="9"/>
      <c r="C857" s="10"/>
      <c r="D857" s="11"/>
      <c r="E857" s="10"/>
      <c r="F857" s="10"/>
    </row>
    <row r="858">
      <c r="B858" s="9"/>
      <c r="C858" s="10"/>
      <c r="D858" s="11"/>
      <c r="E858" s="10"/>
      <c r="F858" s="10"/>
    </row>
    <row r="859">
      <c r="B859" s="9"/>
      <c r="C859" s="10"/>
      <c r="D859" s="11"/>
      <c r="E859" s="10"/>
      <c r="F859" s="10"/>
    </row>
    <row r="860">
      <c r="B860" s="9"/>
      <c r="C860" s="10"/>
      <c r="D860" s="11"/>
      <c r="E860" s="10"/>
      <c r="F860" s="10"/>
    </row>
    <row r="861">
      <c r="B861" s="9"/>
      <c r="C861" s="10"/>
      <c r="D861" s="11"/>
      <c r="E861" s="10"/>
      <c r="F861" s="10"/>
    </row>
    <row r="862">
      <c r="B862" s="9"/>
      <c r="C862" s="10"/>
      <c r="D862" s="11"/>
      <c r="E862" s="10"/>
      <c r="F862" s="10"/>
    </row>
    <row r="863">
      <c r="B863" s="9"/>
      <c r="C863" s="10"/>
      <c r="D863" s="11"/>
      <c r="E863" s="10"/>
      <c r="F863" s="10"/>
    </row>
    <row r="864">
      <c r="B864" s="9"/>
      <c r="C864" s="10"/>
      <c r="D864" s="11"/>
      <c r="E864" s="10"/>
      <c r="F864" s="10"/>
    </row>
    <row r="865">
      <c r="B865" s="9"/>
      <c r="C865" s="10"/>
      <c r="D865" s="11"/>
      <c r="E865" s="10"/>
      <c r="F865" s="10"/>
    </row>
    <row r="866">
      <c r="B866" s="9"/>
      <c r="C866" s="10"/>
      <c r="D866" s="11"/>
      <c r="E866" s="10"/>
      <c r="F866" s="10"/>
    </row>
    <row r="867">
      <c r="B867" s="9"/>
      <c r="C867" s="10"/>
      <c r="D867" s="11"/>
      <c r="E867" s="10"/>
      <c r="F867" s="10"/>
    </row>
    <row r="868">
      <c r="B868" s="9"/>
      <c r="C868" s="10"/>
      <c r="D868" s="11"/>
      <c r="E868" s="10"/>
      <c r="F868" s="10"/>
    </row>
    <row r="869">
      <c r="B869" s="9"/>
      <c r="C869" s="10"/>
      <c r="D869" s="11"/>
      <c r="E869" s="10"/>
      <c r="F869" s="10"/>
    </row>
    <row r="870">
      <c r="B870" s="9"/>
      <c r="C870" s="10"/>
      <c r="D870" s="11"/>
      <c r="E870" s="10"/>
      <c r="F870" s="10"/>
    </row>
    <row r="871">
      <c r="B871" s="9"/>
      <c r="C871" s="10"/>
      <c r="D871" s="11"/>
      <c r="E871" s="10"/>
      <c r="F871" s="10"/>
    </row>
    <row r="872">
      <c r="B872" s="9"/>
      <c r="C872" s="10"/>
      <c r="D872" s="11"/>
      <c r="E872" s="10"/>
      <c r="F872" s="10"/>
    </row>
    <row r="873">
      <c r="B873" s="9"/>
      <c r="C873" s="10"/>
      <c r="D873" s="11"/>
      <c r="E873" s="10"/>
      <c r="F873" s="10"/>
    </row>
    <row r="874">
      <c r="B874" s="9"/>
      <c r="C874" s="10"/>
      <c r="D874" s="11"/>
      <c r="E874" s="10"/>
      <c r="F874" s="10"/>
    </row>
    <row r="875">
      <c r="B875" s="9"/>
      <c r="C875" s="10"/>
      <c r="D875" s="11"/>
      <c r="E875" s="10"/>
      <c r="F875" s="10"/>
    </row>
    <row r="876">
      <c r="B876" s="9"/>
      <c r="C876" s="10"/>
      <c r="D876" s="11"/>
      <c r="E876" s="10"/>
      <c r="F876" s="10"/>
    </row>
    <row r="877">
      <c r="B877" s="9"/>
      <c r="C877" s="10"/>
      <c r="D877" s="11"/>
      <c r="E877" s="10"/>
      <c r="F877" s="10"/>
    </row>
    <row r="878">
      <c r="B878" s="9"/>
      <c r="C878" s="10"/>
      <c r="D878" s="11"/>
      <c r="E878" s="10"/>
      <c r="F878" s="10"/>
    </row>
    <row r="879">
      <c r="B879" s="9"/>
      <c r="C879" s="10"/>
      <c r="D879" s="11"/>
      <c r="E879" s="10"/>
      <c r="F879" s="10"/>
    </row>
    <row r="880">
      <c r="B880" s="9"/>
      <c r="C880" s="10"/>
      <c r="D880" s="11"/>
      <c r="E880" s="10"/>
      <c r="F880" s="10"/>
    </row>
    <row r="881">
      <c r="B881" s="9"/>
      <c r="C881" s="10"/>
      <c r="D881" s="11"/>
      <c r="E881" s="10"/>
      <c r="F881" s="10"/>
    </row>
    <row r="882">
      <c r="B882" s="9"/>
      <c r="C882" s="10"/>
      <c r="D882" s="11"/>
      <c r="E882" s="10"/>
      <c r="F882" s="10"/>
    </row>
    <row r="883">
      <c r="B883" s="9"/>
      <c r="C883" s="10"/>
      <c r="D883" s="11"/>
      <c r="E883" s="10"/>
      <c r="F883" s="10"/>
    </row>
    <row r="884">
      <c r="B884" s="9"/>
      <c r="C884" s="10"/>
      <c r="D884" s="11"/>
      <c r="E884" s="10"/>
      <c r="F884" s="10"/>
    </row>
    <row r="885">
      <c r="B885" s="9"/>
      <c r="C885" s="10"/>
      <c r="D885" s="11"/>
      <c r="E885" s="10"/>
      <c r="F885" s="10"/>
    </row>
    <row r="886">
      <c r="B886" s="9"/>
      <c r="C886" s="10"/>
      <c r="D886" s="11"/>
      <c r="E886" s="10"/>
      <c r="F886" s="10"/>
    </row>
    <row r="887">
      <c r="B887" s="9"/>
      <c r="C887" s="10"/>
      <c r="D887" s="11"/>
      <c r="E887" s="10"/>
      <c r="F887" s="10"/>
    </row>
    <row r="888">
      <c r="B888" s="9"/>
      <c r="C888" s="10"/>
      <c r="D888" s="11"/>
      <c r="E888" s="10"/>
      <c r="F888" s="10"/>
    </row>
    <row r="889">
      <c r="B889" s="9"/>
      <c r="C889" s="10"/>
      <c r="D889" s="11"/>
      <c r="E889" s="10"/>
      <c r="F889" s="10"/>
    </row>
    <row r="890">
      <c r="B890" s="9"/>
      <c r="C890" s="10"/>
      <c r="D890" s="11"/>
      <c r="E890" s="10"/>
      <c r="F890" s="10"/>
    </row>
    <row r="891">
      <c r="B891" s="9"/>
      <c r="C891" s="10"/>
      <c r="D891" s="11"/>
      <c r="E891" s="10"/>
      <c r="F891" s="10"/>
    </row>
    <row r="892">
      <c r="B892" s="9"/>
      <c r="C892" s="10"/>
      <c r="D892" s="11"/>
      <c r="E892" s="10"/>
      <c r="F892" s="10"/>
    </row>
    <row r="893">
      <c r="B893" s="9"/>
      <c r="C893" s="10"/>
      <c r="D893" s="11"/>
      <c r="E893" s="10"/>
      <c r="F893" s="10"/>
    </row>
    <row r="894">
      <c r="B894" s="9"/>
      <c r="C894" s="10"/>
      <c r="D894" s="11"/>
      <c r="E894" s="10"/>
      <c r="F894" s="10"/>
    </row>
    <row r="895">
      <c r="B895" s="9"/>
      <c r="C895" s="10"/>
      <c r="D895" s="11"/>
      <c r="E895" s="10"/>
      <c r="F895" s="10"/>
    </row>
    <row r="896">
      <c r="B896" s="9"/>
      <c r="C896" s="10"/>
      <c r="D896" s="11"/>
      <c r="E896" s="10"/>
      <c r="F896" s="10"/>
    </row>
    <row r="897">
      <c r="B897" s="9"/>
      <c r="C897" s="10"/>
      <c r="D897" s="11"/>
      <c r="E897" s="10"/>
      <c r="F897" s="10"/>
    </row>
    <row r="898">
      <c r="B898" s="9"/>
      <c r="C898" s="10"/>
      <c r="D898" s="11"/>
      <c r="E898" s="10"/>
      <c r="F898" s="10"/>
    </row>
    <row r="899">
      <c r="B899" s="9"/>
      <c r="C899" s="10"/>
      <c r="D899" s="11"/>
      <c r="E899" s="10"/>
      <c r="F899" s="10"/>
    </row>
    <row r="900">
      <c r="B900" s="9"/>
      <c r="C900" s="10"/>
      <c r="D900" s="11"/>
      <c r="E900" s="10"/>
      <c r="F900" s="10"/>
    </row>
    <row r="901">
      <c r="B901" s="9"/>
      <c r="C901" s="10"/>
      <c r="D901" s="11"/>
      <c r="E901" s="10"/>
      <c r="F901" s="10"/>
    </row>
    <row r="902">
      <c r="B902" s="9"/>
      <c r="C902" s="10"/>
      <c r="D902" s="11"/>
      <c r="E902" s="10"/>
      <c r="F902" s="10"/>
    </row>
    <row r="903">
      <c r="B903" s="9"/>
      <c r="C903" s="10"/>
      <c r="D903" s="11"/>
      <c r="E903" s="10"/>
      <c r="F903" s="10"/>
    </row>
    <row r="904">
      <c r="B904" s="9"/>
      <c r="C904" s="10"/>
      <c r="D904" s="11"/>
      <c r="E904" s="10"/>
      <c r="F904" s="10"/>
    </row>
    <row r="905">
      <c r="B905" s="9"/>
      <c r="C905" s="10"/>
      <c r="D905" s="11"/>
      <c r="E905" s="10"/>
      <c r="F905" s="10"/>
    </row>
    <row r="906">
      <c r="B906" s="9"/>
      <c r="C906" s="10"/>
      <c r="D906" s="11"/>
      <c r="E906" s="10"/>
      <c r="F906" s="10"/>
    </row>
    <row r="907">
      <c r="B907" s="9"/>
      <c r="C907" s="10"/>
      <c r="D907" s="11"/>
      <c r="E907" s="10"/>
      <c r="F907" s="10"/>
    </row>
    <row r="908">
      <c r="B908" s="9"/>
      <c r="C908" s="10"/>
      <c r="D908" s="11"/>
      <c r="E908" s="10"/>
      <c r="F908" s="10"/>
    </row>
    <row r="909">
      <c r="B909" s="9"/>
      <c r="C909" s="10"/>
      <c r="D909" s="11"/>
      <c r="E909" s="10"/>
      <c r="F909" s="10"/>
    </row>
    <row r="910">
      <c r="B910" s="9"/>
      <c r="C910" s="10"/>
      <c r="D910" s="11"/>
      <c r="E910" s="10"/>
      <c r="F910" s="10"/>
    </row>
    <row r="911">
      <c r="B911" s="9"/>
      <c r="C911" s="10"/>
      <c r="D911" s="11"/>
      <c r="E911" s="10"/>
      <c r="F911" s="10"/>
    </row>
    <row r="912">
      <c r="B912" s="9"/>
      <c r="C912" s="10"/>
      <c r="D912" s="11"/>
      <c r="E912" s="10"/>
      <c r="F912" s="10"/>
    </row>
    <row r="913">
      <c r="B913" s="9"/>
      <c r="C913" s="10"/>
      <c r="D913" s="11"/>
      <c r="E913" s="10"/>
      <c r="F913" s="10"/>
    </row>
    <row r="914">
      <c r="B914" s="9"/>
      <c r="C914" s="10"/>
      <c r="D914" s="11"/>
      <c r="E914" s="10"/>
      <c r="F914" s="10"/>
    </row>
    <row r="915">
      <c r="B915" s="9"/>
      <c r="C915" s="10"/>
      <c r="D915" s="11"/>
      <c r="E915" s="10"/>
      <c r="F915" s="10"/>
    </row>
    <row r="916">
      <c r="B916" s="9"/>
      <c r="C916" s="10"/>
      <c r="D916" s="11"/>
      <c r="E916" s="10"/>
      <c r="F916" s="10"/>
    </row>
    <row r="917">
      <c r="B917" s="9"/>
      <c r="C917" s="10"/>
      <c r="D917" s="11"/>
      <c r="E917" s="10"/>
      <c r="F917" s="10"/>
    </row>
    <row r="918">
      <c r="B918" s="9"/>
      <c r="C918" s="10"/>
      <c r="D918" s="11"/>
      <c r="E918" s="10"/>
      <c r="F918" s="10"/>
    </row>
    <row r="919">
      <c r="B919" s="9"/>
      <c r="C919" s="10"/>
      <c r="D919" s="11"/>
      <c r="E919" s="10"/>
      <c r="F919" s="10"/>
    </row>
    <row r="920">
      <c r="B920" s="9"/>
      <c r="C920" s="10"/>
      <c r="D920" s="11"/>
      <c r="E920" s="10"/>
      <c r="F920" s="10"/>
    </row>
    <row r="921">
      <c r="B921" s="9"/>
      <c r="C921" s="10"/>
      <c r="D921" s="11"/>
      <c r="E921" s="10"/>
      <c r="F921" s="10"/>
    </row>
    <row r="922">
      <c r="B922" s="9"/>
      <c r="C922" s="10"/>
      <c r="D922" s="11"/>
      <c r="E922" s="10"/>
      <c r="F922" s="10"/>
    </row>
    <row r="923">
      <c r="B923" s="9"/>
      <c r="C923" s="10"/>
      <c r="D923" s="11"/>
      <c r="E923" s="10"/>
      <c r="F923" s="10"/>
    </row>
    <row r="924">
      <c r="B924" s="9"/>
      <c r="C924" s="10"/>
      <c r="D924" s="11"/>
      <c r="E924" s="10"/>
      <c r="F924" s="10"/>
    </row>
    <row r="925">
      <c r="B925" s="9"/>
      <c r="C925" s="10"/>
      <c r="D925" s="11"/>
      <c r="E925" s="10"/>
      <c r="F925" s="10"/>
    </row>
    <row r="926">
      <c r="B926" s="9"/>
      <c r="C926" s="10"/>
      <c r="D926" s="11"/>
      <c r="E926" s="10"/>
      <c r="F926" s="10"/>
    </row>
    <row r="927">
      <c r="B927" s="9"/>
      <c r="C927" s="10"/>
      <c r="D927" s="11"/>
      <c r="E927" s="10"/>
      <c r="F927" s="10"/>
    </row>
    <row r="928">
      <c r="B928" s="9"/>
      <c r="C928" s="10"/>
      <c r="D928" s="11"/>
      <c r="E928" s="10"/>
      <c r="F928" s="10"/>
    </row>
    <row r="929">
      <c r="B929" s="9"/>
      <c r="C929" s="10"/>
      <c r="D929" s="11"/>
      <c r="E929" s="10"/>
      <c r="F929" s="10"/>
    </row>
    <row r="930">
      <c r="B930" s="9"/>
      <c r="C930" s="10"/>
      <c r="D930" s="11"/>
      <c r="E930" s="10"/>
      <c r="F930" s="10"/>
    </row>
    <row r="931">
      <c r="B931" s="9"/>
      <c r="C931" s="10"/>
      <c r="D931" s="11"/>
      <c r="E931" s="10"/>
      <c r="F931" s="10"/>
    </row>
    <row r="932">
      <c r="B932" s="9"/>
      <c r="C932" s="10"/>
      <c r="D932" s="11"/>
      <c r="E932" s="10"/>
      <c r="F932" s="10"/>
    </row>
    <row r="933">
      <c r="B933" s="9"/>
      <c r="C933" s="10"/>
      <c r="D933" s="11"/>
      <c r="E933" s="10"/>
      <c r="F933" s="10"/>
    </row>
    <row r="934">
      <c r="B934" s="9"/>
      <c r="C934" s="10"/>
      <c r="D934" s="11"/>
      <c r="E934" s="10"/>
      <c r="F934" s="10"/>
    </row>
    <row r="935">
      <c r="B935" s="9"/>
      <c r="C935" s="10"/>
      <c r="D935" s="11"/>
      <c r="E935" s="10"/>
      <c r="F935" s="10"/>
    </row>
    <row r="936">
      <c r="B936" s="9"/>
      <c r="C936" s="10"/>
      <c r="D936" s="11"/>
      <c r="E936" s="10"/>
      <c r="F936" s="10"/>
    </row>
    <row r="937">
      <c r="B937" s="9"/>
      <c r="C937" s="10"/>
      <c r="D937" s="11"/>
      <c r="E937" s="10"/>
      <c r="F937" s="10"/>
    </row>
    <row r="938">
      <c r="B938" s="9"/>
      <c r="C938" s="10"/>
      <c r="D938" s="11"/>
      <c r="E938" s="10"/>
      <c r="F938" s="10"/>
    </row>
    <row r="939">
      <c r="B939" s="9"/>
      <c r="C939" s="10"/>
      <c r="D939" s="11"/>
      <c r="E939" s="10"/>
      <c r="F939" s="10"/>
    </row>
    <row r="940">
      <c r="B940" s="9"/>
      <c r="C940" s="10"/>
      <c r="D940" s="11"/>
      <c r="E940" s="10"/>
      <c r="F940" s="10"/>
    </row>
    <row r="941">
      <c r="B941" s="9"/>
      <c r="C941" s="10"/>
      <c r="D941" s="11"/>
      <c r="E941" s="10"/>
      <c r="F941" s="10"/>
    </row>
    <row r="942">
      <c r="B942" s="9"/>
      <c r="C942" s="10"/>
      <c r="D942" s="11"/>
      <c r="E942" s="10"/>
      <c r="F942" s="10"/>
    </row>
    <row r="943">
      <c r="B943" s="9"/>
      <c r="C943" s="10"/>
      <c r="D943" s="11"/>
      <c r="E943" s="10"/>
      <c r="F943" s="10"/>
    </row>
    <row r="944">
      <c r="B944" s="9"/>
      <c r="C944" s="10"/>
      <c r="D944" s="11"/>
      <c r="E944" s="10"/>
      <c r="F944" s="10"/>
    </row>
    <row r="945">
      <c r="B945" s="9"/>
      <c r="C945" s="10"/>
      <c r="D945" s="11"/>
      <c r="E945" s="10"/>
      <c r="F945" s="10"/>
    </row>
    <row r="946">
      <c r="B946" s="9"/>
      <c r="C946" s="10"/>
      <c r="D946" s="11"/>
      <c r="E946" s="10"/>
      <c r="F946" s="10"/>
    </row>
    <row r="947">
      <c r="B947" s="9"/>
      <c r="C947" s="10"/>
      <c r="D947" s="11"/>
      <c r="E947" s="10"/>
      <c r="F947" s="10"/>
    </row>
    <row r="948">
      <c r="B948" s="9"/>
      <c r="C948" s="10"/>
      <c r="D948" s="11"/>
      <c r="E948" s="10"/>
      <c r="F948" s="10"/>
    </row>
    <row r="949">
      <c r="B949" s="9"/>
      <c r="C949" s="10"/>
      <c r="D949" s="11"/>
      <c r="E949" s="10"/>
      <c r="F949" s="10"/>
    </row>
    <row r="950">
      <c r="B950" s="9"/>
      <c r="C950" s="10"/>
      <c r="D950" s="11"/>
      <c r="E950" s="10"/>
      <c r="F950" s="10"/>
    </row>
    <row r="951">
      <c r="B951" s="9"/>
      <c r="C951" s="10"/>
      <c r="D951" s="11"/>
      <c r="E951" s="10"/>
      <c r="F951" s="10"/>
    </row>
    <row r="952">
      <c r="B952" s="9"/>
      <c r="C952" s="10"/>
      <c r="D952" s="11"/>
      <c r="E952" s="10"/>
      <c r="F952" s="10"/>
    </row>
    <row r="953">
      <c r="B953" s="9"/>
      <c r="C953" s="10"/>
      <c r="D953" s="11"/>
      <c r="E953" s="10"/>
      <c r="F953" s="10"/>
    </row>
    <row r="954">
      <c r="B954" s="9"/>
      <c r="C954" s="10"/>
      <c r="D954" s="11"/>
      <c r="E954" s="10"/>
      <c r="F954" s="10"/>
    </row>
    <row r="955">
      <c r="B955" s="9"/>
      <c r="C955" s="10"/>
      <c r="D955" s="11"/>
      <c r="E955" s="10"/>
      <c r="F955" s="10"/>
    </row>
    <row r="956">
      <c r="B956" s="9"/>
      <c r="C956" s="10"/>
      <c r="D956" s="11"/>
      <c r="E956" s="10"/>
      <c r="F956" s="10"/>
    </row>
    <row r="957">
      <c r="B957" s="9"/>
      <c r="C957" s="10"/>
      <c r="D957" s="11"/>
      <c r="E957" s="10"/>
      <c r="F957" s="10"/>
    </row>
    <row r="958">
      <c r="B958" s="9"/>
      <c r="C958" s="10"/>
      <c r="D958" s="11"/>
      <c r="E958" s="10"/>
      <c r="F958" s="10"/>
    </row>
    <row r="959">
      <c r="B959" s="9"/>
      <c r="C959" s="10"/>
      <c r="D959" s="11"/>
      <c r="E959" s="10"/>
      <c r="F959" s="10"/>
    </row>
    <row r="960">
      <c r="B960" s="9"/>
      <c r="C960" s="10"/>
      <c r="D960" s="11"/>
      <c r="E960" s="10"/>
      <c r="F960" s="10"/>
    </row>
    <row r="961">
      <c r="B961" s="9"/>
      <c r="C961" s="10"/>
      <c r="D961" s="11"/>
      <c r="E961" s="10"/>
      <c r="F961" s="10"/>
    </row>
    <row r="962">
      <c r="B962" s="9"/>
      <c r="C962" s="10"/>
      <c r="D962" s="11"/>
      <c r="E962" s="10"/>
      <c r="F962" s="10"/>
    </row>
    <row r="963">
      <c r="B963" s="9"/>
      <c r="C963" s="10"/>
      <c r="D963" s="11"/>
      <c r="E963" s="10"/>
      <c r="F963" s="10"/>
    </row>
    <row r="964">
      <c r="B964" s="9"/>
      <c r="C964" s="10"/>
      <c r="D964" s="11"/>
      <c r="E964" s="10"/>
      <c r="F964" s="10"/>
    </row>
    <row r="965">
      <c r="B965" s="9"/>
      <c r="C965" s="10"/>
      <c r="D965" s="11"/>
      <c r="E965" s="10"/>
      <c r="F965" s="10"/>
    </row>
    <row r="966">
      <c r="B966" s="9"/>
      <c r="C966" s="10"/>
      <c r="D966" s="11"/>
      <c r="E966" s="10"/>
      <c r="F966" s="10"/>
    </row>
    <row r="967">
      <c r="B967" s="9"/>
      <c r="C967" s="10"/>
      <c r="D967" s="11"/>
      <c r="E967" s="10"/>
      <c r="F967" s="10"/>
    </row>
    <row r="968">
      <c r="B968" s="9"/>
      <c r="C968" s="10"/>
      <c r="D968" s="11"/>
      <c r="E968" s="10"/>
      <c r="F968" s="10"/>
    </row>
    <row r="969">
      <c r="B969" s="9"/>
      <c r="C969" s="10"/>
      <c r="D969" s="11"/>
      <c r="E969" s="10"/>
      <c r="F969" s="10"/>
    </row>
    <row r="970">
      <c r="B970" s="9"/>
      <c r="C970" s="10"/>
      <c r="D970" s="11"/>
      <c r="E970" s="10"/>
      <c r="F970" s="10"/>
    </row>
    <row r="971">
      <c r="B971" s="9"/>
      <c r="C971" s="10"/>
      <c r="D971" s="11"/>
      <c r="E971" s="10"/>
      <c r="F971" s="10"/>
    </row>
    <row r="972">
      <c r="B972" s="9"/>
      <c r="C972" s="10"/>
      <c r="D972" s="11"/>
      <c r="E972" s="10"/>
      <c r="F972" s="10"/>
    </row>
    <row r="973">
      <c r="B973" s="9"/>
      <c r="C973" s="10"/>
      <c r="D973" s="11"/>
      <c r="E973" s="10"/>
      <c r="F973" s="10"/>
    </row>
    <row r="974">
      <c r="B974" s="9"/>
      <c r="C974" s="10"/>
      <c r="D974" s="11"/>
      <c r="E974" s="10"/>
      <c r="F974" s="10"/>
    </row>
    <row r="975">
      <c r="B975" s="9"/>
      <c r="C975" s="10"/>
      <c r="D975" s="11"/>
      <c r="E975" s="10"/>
      <c r="F975" s="10"/>
    </row>
    <row r="976">
      <c r="B976" s="9"/>
      <c r="C976" s="10"/>
      <c r="D976" s="11"/>
      <c r="E976" s="10"/>
      <c r="F976" s="10"/>
    </row>
    <row r="977">
      <c r="B977" s="9"/>
      <c r="C977" s="10"/>
      <c r="D977" s="11"/>
      <c r="E977" s="10"/>
      <c r="F977" s="10"/>
    </row>
    <row r="978">
      <c r="B978" s="9"/>
      <c r="C978" s="10"/>
      <c r="D978" s="11"/>
      <c r="E978" s="10"/>
      <c r="F978" s="10"/>
    </row>
    <row r="979">
      <c r="B979" s="9"/>
      <c r="C979" s="10"/>
      <c r="D979" s="11"/>
      <c r="E979" s="10"/>
      <c r="F979" s="10"/>
    </row>
    <row r="980">
      <c r="B980" s="9"/>
      <c r="C980" s="10"/>
      <c r="D980" s="11"/>
      <c r="E980" s="10"/>
      <c r="F980" s="10"/>
    </row>
    <row r="981">
      <c r="B981" s="9"/>
      <c r="C981" s="10"/>
      <c r="D981" s="11"/>
      <c r="E981" s="10"/>
      <c r="F981" s="10"/>
    </row>
    <row r="982">
      <c r="B982" s="9"/>
      <c r="C982" s="10"/>
      <c r="D982" s="11"/>
      <c r="E982" s="10"/>
      <c r="F982" s="10"/>
    </row>
    <row r="983">
      <c r="B983" s="9"/>
      <c r="C983" s="10"/>
      <c r="D983" s="11"/>
      <c r="E983" s="10"/>
      <c r="F983" s="10"/>
    </row>
    <row r="984">
      <c r="B984" s="9"/>
      <c r="C984" s="10"/>
      <c r="D984" s="11"/>
      <c r="E984" s="10"/>
      <c r="F984" s="10"/>
    </row>
    <row r="985">
      <c r="B985" s="9"/>
      <c r="C985" s="10"/>
      <c r="D985" s="11"/>
      <c r="E985" s="10"/>
      <c r="F985" s="10"/>
    </row>
    <row r="986">
      <c r="B986" s="9"/>
      <c r="C986" s="10"/>
      <c r="D986" s="11"/>
      <c r="E986" s="10"/>
      <c r="F986" s="10"/>
    </row>
    <row r="987">
      <c r="B987" s="9"/>
      <c r="C987" s="10"/>
      <c r="D987" s="11"/>
      <c r="E987" s="10"/>
      <c r="F987" s="10"/>
    </row>
    <row r="988">
      <c r="B988" s="9"/>
      <c r="C988" s="10"/>
      <c r="D988" s="11"/>
      <c r="E988" s="10"/>
      <c r="F988" s="10"/>
    </row>
    <row r="989">
      <c r="B989" s="9"/>
      <c r="C989" s="10"/>
      <c r="D989" s="11"/>
      <c r="E989" s="10"/>
      <c r="F989" s="10"/>
    </row>
    <row r="990">
      <c r="B990" s="9"/>
      <c r="C990" s="10"/>
      <c r="D990" s="11"/>
      <c r="E990" s="10"/>
      <c r="F990" s="10"/>
    </row>
    <row r="991">
      <c r="B991" s="9"/>
      <c r="C991" s="10"/>
      <c r="D991" s="11"/>
      <c r="E991" s="10"/>
      <c r="F991" s="10"/>
    </row>
    <row r="992">
      <c r="B992" s="9"/>
      <c r="C992" s="10"/>
      <c r="D992" s="11"/>
      <c r="E992" s="10"/>
      <c r="F992" s="10"/>
    </row>
    <row r="993">
      <c r="B993" s="9"/>
      <c r="C993" s="10"/>
      <c r="D993" s="11"/>
      <c r="E993" s="10"/>
      <c r="F993" s="10"/>
    </row>
    <row r="994">
      <c r="B994" s="9"/>
      <c r="C994" s="10"/>
      <c r="D994" s="11"/>
      <c r="E994" s="10"/>
      <c r="F994" s="10"/>
    </row>
    <row r="995">
      <c r="B995" s="9"/>
      <c r="C995" s="10"/>
      <c r="D995" s="11"/>
      <c r="E995" s="10"/>
      <c r="F995" s="10"/>
    </row>
    <row r="996">
      <c r="B996" s="9"/>
      <c r="C996" s="10"/>
      <c r="D996" s="11"/>
      <c r="E996" s="10"/>
      <c r="F996" s="10"/>
    </row>
    <row r="997">
      <c r="B997" s="9"/>
      <c r="C997" s="10"/>
      <c r="D997" s="11"/>
      <c r="E997" s="10"/>
      <c r="F997" s="10"/>
    </row>
    <row r="998">
      <c r="B998" s="9"/>
      <c r="C998" s="10"/>
      <c r="D998" s="11"/>
      <c r="E998" s="10"/>
      <c r="F998" s="10"/>
    </row>
    <row r="999">
      <c r="B999" s="9"/>
      <c r="C999" s="10"/>
      <c r="D999" s="11"/>
      <c r="E999" s="10"/>
      <c r="F999" s="10"/>
    </row>
    <row r="1000">
      <c r="B1000" s="9"/>
      <c r="C1000" s="10"/>
      <c r="D1000" s="11"/>
      <c r="E1000" s="10"/>
      <c r="F1000" s="10"/>
    </row>
  </sheetData>
  <drawing r:id="rId1"/>
</worksheet>
</file>